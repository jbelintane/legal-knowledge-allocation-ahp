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o\OneDrive\Área de Trabalho\"/>
    </mc:Choice>
  </mc:AlternateContent>
  <xr:revisionPtr revIDLastSave="0" documentId="13_ncr:1_{086AB27D-55D8-4C7C-AC7C-46CA3F93FBAC}" xr6:coauthVersionLast="47" xr6:coauthVersionMax="47" xr10:uidLastSave="{00000000-0000-0000-0000-000000000000}"/>
  <bookViews>
    <workbookView xWindow="-120" yWindow="-120" windowWidth="20730" windowHeight="11040" activeTab="3" xr2:uid="{A0874882-D266-4B93-8A27-975CA5084FAB}"/>
  </bookViews>
  <sheets>
    <sheet name="Áreas" sheetId="1" r:id="rId1"/>
    <sheet name="DB_AT" sheetId="5" r:id="rId2"/>
    <sheet name="Contratos (2)" sheetId="3" r:id="rId3"/>
    <sheet name="Societário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F2" i="1" s="1"/>
  <c r="C33" i="1"/>
  <c r="F13" i="1" l="1"/>
  <c r="F12" i="1"/>
  <c r="F11" i="1"/>
  <c r="F10" i="1"/>
  <c r="F9" i="1"/>
  <c r="F8" i="1"/>
  <c r="F7" i="1"/>
  <c r="F6" i="1"/>
  <c r="F5" i="1"/>
  <c r="F4" i="1"/>
  <c r="F3" i="1"/>
  <c r="F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<sst xmlns="http://schemas.openxmlformats.org/spreadsheetml/2006/main" count="1278" uniqueCount="650">
  <si>
    <t>M&amp;A</t>
  </si>
  <si>
    <t>Total</t>
  </si>
  <si>
    <t>Contract Law</t>
  </si>
  <si>
    <t>Corporate Law</t>
  </si>
  <si>
    <t>Antitrust Law</t>
  </si>
  <si>
    <t>Compliance Law</t>
  </si>
  <si>
    <t>Litigation and Arbitration</t>
  </si>
  <si>
    <t>General Terms and Conditions</t>
  </si>
  <si>
    <t>Data protection</t>
  </si>
  <si>
    <t>International Legal affairs</t>
  </si>
  <si>
    <t>Trademark and patent law</t>
  </si>
  <si>
    <t>Labor Law</t>
  </si>
  <si>
    <t>Banking law</t>
  </si>
  <si>
    <t>IT Law</t>
  </si>
  <si>
    <t>Financing</t>
  </si>
  <si>
    <t>Energy industry law</t>
  </si>
  <si>
    <t>Capital market law</t>
  </si>
  <si>
    <t>Supervisory board office/executive board support</t>
  </si>
  <si>
    <t>Product liability</t>
  </si>
  <si>
    <t>Public law</t>
  </si>
  <si>
    <t>Property and building law</t>
  </si>
  <si>
    <t>insurance law</t>
  </si>
  <si>
    <t>Environmental law</t>
  </si>
  <si>
    <t>Stock corporation law and group law</t>
  </si>
  <si>
    <t>Foreign trade/export controls</t>
  </si>
  <si>
    <t>Transport and logistics law</t>
  </si>
  <si>
    <t>Criminal law</t>
  </si>
  <si>
    <t>Media law</t>
  </si>
  <si>
    <t>Telecommunications</t>
  </si>
  <si>
    <t>Tax law</t>
  </si>
  <si>
    <t>Press law</t>
  </si>
  <si>
    <t>Área</t>
  </si>
  <si>
    <t>Distribuição</t>
  </si>
  <si>
    <t>Junção</t>
  </si>
  <si>
    <t>Contratos</t>
  </si>
  <si>
    <t>Societário</t>
  </si>
  <si>
    <t>Concorrencial</t>
  </si>
  <si>
    <t>Governança</t>
  </si>
  <si>
    <t>Contencioso</t>
  </si>
  <si>
    <t>Propriedade Intelectual</t>
  </si>
  <si>
    <t>Trabalhista</t>
  </si>
  <si>
    <t>Direito financeiro</t>
  </si>
  <si>
    <t>Direito digital</t>
  </si>
  <si>
    <t>Regulatório</t>
  </si>
  <si>
    <t>Tributário</t>
  </si>
  <si>
    <t>total</t>
  </si>
  <si>
    <t>Insolvency law</t>
  </si>
  <si>
    <t>Categoria</t>
  </si>
  <si>
    <t>Baixo</t>
  </si>
  <si>
    <t>Alta</t>
  </si>
  <si>
    <t>Médio</t>
  </si>
  <si>
    <t>Média</t>
  </si>
  <si>
    <t>Baixa</t>
  </si>
  <si>
    <t>Alto</t>
  </si>
  <si>
    <t>Contratos Administrativos e Regulatórios</t>
  </si>
  <si>
    <t>Interdisciplinaridade</t>
  </si>
  <si>
    <t>Universalidade</t>
  </si>
  <si>
    <t>Grupo de Contratos</t>
  </si>
  <si>
    <t>Densidade Normativa</t>
  </si>
  <si>
    <t>Risco Jurídico e Financeiro</t>
  </si>
  <si>
    <t>Grau de Customização</t>
  </si>
  <si>
    <t>Exigência de Senioridade</t>
  </si>
  <si>
    <t>Complexidade (Síntese)</t>
  </si>
  <si>
    <t>Incidência no Dia a Dia</t>
  </si>
  <si>
    <t>Ciclo de Vida</t>
  </si>
  <si>
    <t>Volume Operacional</t>
  </si>
  <si>
    <t>Frequência (Síntese)</t>
  </si>
  <si>
    <t>Operacionais</t>
  </si>
  <si>
    <t>Contratos Civis Padronizados (Compra e Venda, Locação, Serviços)</t>
  </si>
  <si>
    <t>Júnior</t>
  </si>
  <si>
    <t>Curto</t>
  </si>
  <si>
    <t>Contratos Trabalhistas Recorrentes</t>
  </si>
  <si>
    <t>Pleno</t>
  </si>
  <si>
    <t>Contratos Empresariais Operacionais (Distribuição, NDA, Supply)</t>
  </si>
  <si>
    <t>Estruturais</t>
  </si>
  <si>
    <t>Contratos Societários Básicos (Contrato Social, Estatuto)</t>
  </si>
  <si>
    <t>Sênior</t>
  </si>
  <si>
    <t>Longo</t>
  </si>
  <si>
    <t>Acordos Societários Complexos (Sócios, Acionistas, Vesting)</t>
  </si>
  <si>
    <t>Transacionais</t>
  </si>
  <si>
    <t>M&amp;A e Reorganizações (SPA, Compra de Quotas, JV)</t>
  </si>
  <si>
    <t>Muito Alta</t>
  </si>
  <si>
    <t>Imobiliários</t>
  </si>
  <si>
    <t>Contratos Imobiliários Comuns (Compra, Locação, Administração)</t>
  </si>
  <si>
    <t>Projetos Imobiliários Estruturados (BTS, Incorporação)</t>
  </si>
  <si>
    <t>Tecnologia</t>
  </si>
  <si>
    <t>Contratos de Tecnologia Recorrentes (SaaS, Licença, Hosting)</t>
  </si>
  <si>
    <t>Desenvolvimento, IP e Transferência de Tecnologia</t>
  </si>
  <si>
    <t>Financeiros</t>
  </si>
  <si>
    <t>Contratos Financeiros Padronizados (Empréstimo, Financiamento)</t>
  </si>
  <si>
    <t>Estruturas Financeiras Complexas (Derivativos, Securitização)</t>
  </si>
  <si>
    <t>Muito Alto</t>
  </si>
  <si>
    <t>Regulatórios</t>
  </si>
  <si>
    <t>Inovadores</t>
  </si>
  <si>
    <t>Contratos Atípicos e Digitais (Cripto, Smart Contracts)</t>
  </si>
  <si>
    <t>Macroatividade</t>
  </si>
  <si>
    <t>Atividade</t>
  </si>
  <si>
    <t>Risco Jurídico e Patrimonial</t>
  </si>
  <si>
    <t>Governança Societária</t>
  </si>
  <si>
    <t>Atas de Reunião e Assembleia</t>
  </si>
  <si>
    <t>Atualização de Contrato Social / Estatuto</t>
  </si>
  <si>
    <t>Organização de livros societários</t>
  </si>
  <si>
    <t>Estruturação de regras de governança</t>
  </si>
  <si>
    <t>Relação entre Sócios</t>
  </si>
  <si>
    <t>Acordo de Sócios / Acionistas</t>
  </si>
  <si>
    <t>Gestão de conflitos societários</t>
  </si>
  <si>
    <t>Operações Societárias</t>
  </si>
  <si>
    <t>Aumento e redução de capital</t>
  </si>
  <si>
    <t>Reorganizações societárias internas</t>
  </si>
  <si>
    <t>Compliance Societário</t>
  </si>
  <si>
    <t>Atos perante Junta Comercial</t>
  </si>
  <si>
    <t>Regularização societária</t>
  </si>
  <si>
    <t>Due diligence societária</t>
  </si>
  <si>
    <t>SPA / SHA e documentos correlatos</t>
  </si>
  <si>
    <t>Estratégia Corporativa</t>
  </si>
  <si>
    <t>Estruturação de holdings e grupos</t>
  </si>
  <si>
    <t>Internacional</t>
  </si>
  <si>
    <t>Estruturação societária internacional</t>
  </si>
  <si>
    <t>Contrato de compra e venda</t>
  </si>
  <si>
    <t>Contrato de prestação de serviços</t>
  </si>
  <si>
    <t>Contrato de Locação</t>
  </si>
  <si>
    <t>Contrato de Mútuo, Doação ou Comodato</t>
  </si>
  <si>
    <t>Contrato de Mandato</t>
  </si>
  <si>
    <t>Contrato de Cessão de Crédito</t>
  </si>
  <si>
    <t>Contrato de Distribuição</t>
  </si>
  <si>
    <t>Contrato de Representação Comercial</t>
  </si>
  <si>
    <t>Contrato de Joint Venture</t>
  </si>
  <si>
    <t>Contrato de Agência, Franquia ou Parceria Empresarial</t>
  </si>
  <si>
    <t>NDA</t>
  </si>
  <si>
    <t>MoU</t>
  </si>
  <si>
    <t>Letter of Intent</t>
  </si>
  <si>
    <t>Contratos imobiliários</t>
  </si>
  <si>
    <t>Contrato de trabalho</t>
  </si>
  <si>
    <t>Contrato de Licenciamento de Software</t>
  </si>
  <si>
    <t>Contrato de Cessão de Direitos Autorais</t>
  </si>
  <si>
    <t>Contrato de Licença de Uso de Marca</t>
  </si>
  <si>
    <t>Contrato de Desenvolvimento de Software</t>
  </si>
  <si>
    <t>Contrato de SaaS</t>
  </si>
  <si>
    <t>Contrato de Hosting</t>
  </si>
  <si>
    <t>Contrato de Manutenção de Sistemas</t>
  </si>
  <si>
    <t>Contrato de Escrow de Código-Fonte</t>
  </si>
  <si>
    <t>Contrato de Transferência de Tecnologia</t>
  </si>
  <si>
    <t>Contratos Financeiros ou Bancários</t>
  </si>
  <si>
    <t>Contratos Administrativos</t>
  </si>
  <si>
    <t>Contratos de Seguros ou Previdência</t>
  </si>
  <si>
    <t>Outros tipos contratuais</t>
  </si>
  <si>
    <t>Programa de Compliance Concorrencial</t>
  </si>
  <si>
    <t>Avaliação de riscos concorrenciais</t>
  </si>
  <si>
    <t>Gestão de canal de dúvidas</t>
  </si>
  <si>
    <t>Revisão concorrencial de documentos</t>
  </si>
  <si>
    <t>Análise de exclusividade, não concorrência e cláusulas MFN</t>
  </si>
  <si>
    <t>M&amp;A Concorrencial</t>
  </si>
  <si>
    <t>Contencioso Administrativo Concorrencial</t>
  </si>
  <si>
    <t>Relacionamento CADE</t>
  </si>
  <si>
    <t>Monitoramento regulatório e jurisprudencial</t>
  </si>
  <si>
    <t>Governança e Regimentos de Comitês</t>
  </si>
  <si>
    <t>Planejamento de Agenda do Conselho de Administração</t>
  </si>
  <si>
    <t>Preparação de reuniões, materiais, pautas e apreentações</t>
  </si>
  <si>
    <t>Gestão de fluxo de informações com Conselho de Administração</t>
  </si>
  <si>
    <t>Suporte jurídico às decisões do Conselho de Administração</t>
  </si>
  <si>
    <t>Elaboração e revisão de atas</t>
  </si>
  <si>
    <t>Código de Conduta</t>
  </si>
  <si>
    <t>Política de Governaça Corporativa</t>
  </si>
  <si>
    <t>Política de Conflito de Interesses e de Partes Relacionadas</t>
  </si>
  <si>
    <t>Política de PLDFTP e Fraudes</t>
  </si>
  <si>
    <t>Monitoramento de aderência a políticas</t>
  </si>
  <si>
    <t>Estruturação de framework de riscos</t>
  </si>
  <si>
    <t>Integração com outras áreas</t>
  </si>
  <si>
    <t>Acompanhamento de planos de mitigação</t>
  </si>
  <si>
    <t>Gestão de documentos de governança</t>
  </si>
  <si>
    <t>Trasnparência e divulgação de informações</t>
  </si>
  <si>
    <t>Avaliação periódica da efetividade da governança</t>
  </si>
  <si>
    <t>Benchmarking de melhores práticas</t>
  </si>
  <si>
    <t>Treinamentos corporativos</t>
  </si>
  <si>
    <t>Outras atividades de governança</t>
  </si>
  <si>
    <t>Mapeamento e classificação do contencioso da companhia</t>
  </si>
  <si>
    <t>Monitoramento processual e de prazos</t>
  </si>
  <si>
    <t>Relatórios gerenciais</t>
  </si>
  <si>
    <t>Estratégia processual</t>
  </si>
  <si>
    <t>Avaliação de riscos, êxito e impacto financeiro</t>
  </si>
  <si>
    <t>Padronização de teses jurídicas</t>
  </si>
  <si>
    <t>Avaliação de precedentes relevantes</t>
  </si>
  <si>
    <t>Elaboração de petição inicial</t>
  </si>
  <si>
    <t>Elaboração de contestação</t>
  </si>
  <si>
    <t>Elaboração de recursos</t>
  </si>
  <si>
    <t>Acompanhamento de audiências</t>
  </si>
  <si>
    <t>Análise de decisões judiciais</t>
  </si>
  <si>
    <t>Gestão de provas e documentos</t>
  </si>
  <si>
    <t>Suporte técnico às áreas internas envolvidas</t>
  </si>
  <si>
    <t>Gestão de escritórios externos</t>
  </si>
  <si>
    <t>Contencioso Trabalhista</t>
  </si>
  <si>
    <t>Contencioso Civil</t>
  </si>
  <si>
    <t>Contencioso Tributário e Administrativo</t>
  </si>
  <si>
    <t>Acordos, Mediação e Soluções Alternativas</t>
  </si>
  <si>
    <t>Prevenção de Litígios e Atuação Preventiva</t>
  </si>
  <si>
    <t>Análise jurídica preliminar e de estrutura da operação</t>
  </si>
  <si>
    <t>Avaliação de impactos (societário, contratual, regulatório, concorrencial, trabalhista, tributário)</t>
  </si>
  <si>
    <t>Estruturação de veículos societários (SPVs)</t>
  </si>
  <si>
    <t>Due diligence</t>
  </si>
  <si>
    <t>Elaboração e negociação de LOI</t>
  </si>
  <si>
    <t>Elaboração e negociação de  SHA</t>
  </si>
  <si>
    <t>Elaboração e negociação de  SPA</t>
  </si>
  <si>
    <t>Suporte jurídico às negociações comerciais</t>
  </si>
  <si>
    <t>Consolidação das versões finais dos documentos</t>
  </si>
  <si>
    <t>Aprovações regulatórias e concorrenciais</t>
  </si>
  <si>
    <t>Closing da operação</t>
  </si>
  <si>
    <t>Integração societária</t>
  </si>
  <si>
    <t>Gestão de earn-outs, ajustes de preço e garantias</t>
  </si>
  <si>
    <t>Gestão de passivos</t>
  </si>
  <si>
    <t>Gestão de Advisors e Governança da Operação</t>
  </si>
  <si>
    <t>Estruturação jurídica de carve-outs, spin-offs e alienação de ativos</t>
  </si>
  <si>
    <t>Gestão jurídica do encerramento de operações</t>
  </si>
  <si>
    <t>Direito Digital</t>
  </si>
  <si>
    <t>Programa de conformidade com LGPD</t>
  </si>
  <si>
    <t>Elaboração e atualização de políticas de privacidade e cookies</t>
  </si>
  <si>
    <t>Mapeamento de dados pessoais (data mapping / data inventory)</t>
  </si>
  <si>
    <t>Avaliação de bases legais para tratamento de dados</t>
  </si>
  <si>
    <t>Análise de relatórios de impacto à proteção de dados (DPIA / RIPD)</t>
  </si>
  <si>
    <t>Apoio jurídico ao Encarregado/DPO</t>
  </si>
  <si>
    <t>Gestão de incidentes e vazamentos de dados (data breach)</t>
  </si>
  <si>
    <t>Atendimento a direitos dos titulares (DSARs)</t>
  </si>
  <si>
    <t>Relacionamento ANPD</t>
  </si>
  <si>
    <t>Gestão de Processos com ANPD</t>
  </si>
  <si>
    <t>Comunicação de incidentes às autoridades competentes</t>
  </si>
  <si>
    <t>Elaboração de respostas e notificações de ofícios</t>
  </si>
  <si>
    <t>Revisão jurídica de contratos com provedores de tecnologia e SaaS</t>
  </si>
  <si>
    <t>Análise de cláusulas de tratamento, compartilhamento e transferência de dados</t>
  </si>
  <si>
    <t>Estruturação de contratos de processamento de dados (DPA)</t>
  </si>
  <si>
    <t>Negociação de cláusulas de segurança da informação</t>
  </si>
  <si>
    <t>Avaliação de fornecedores sob a ótica de privacidade (vendor assessment)</t>
  </si>
  <si>
    <t>Adequação de contratos a regras internacionais de privacidade</t>
  </si>
  <si>
    <t>Interface entre jurídico, TI e segurança da informação</t>
  </si>
  <si>
    <t>Avaliação jurídica de políticas internas de segurança</t>
  </si>
  <si>
    <t>Apoio em planos de resposta a incidentes</t>
  </si>
  <si>
    <t>Análise de responsabilidades em falhas de segurança</t>
  </si>
  <si>
    <t>Análise jurídica de novos produtos digitais</t>
  </si>
  <si>
    <t>Avaliação de riscos legais em plataformas e marketplaces</t>
  </si>
  <si>
    <t>Apoio jurídico a squads de produto e tecnologia</t>
  </si>
  <si>
    <t>Avaliação de uso de IA, algoritmos e automação</t>
  </si>
  <si>
    <t>Avaliação jurídica de campanhas de marketing digital</t>
  </si>
  <si>
    <t>Uso de dados para publicidade, remarketing e analytics</t>
  </si>
  <si>
    <t>Apoio a litígios envolvendo dados, tecnologia e plataformas</t>
  </si>
  <si>
    <t>Análise de risco jurídico digital</t>
  </si>
  <si>
    <t>Treinamentos e conscientização sobre LGPD e segurança da informação</t>
  </si>
  <si>
    <t>Monitoramento regulatório (LGPD, IA, plataformas, cibersegurança)</t>
  </si>
  <si>
    <t>Depósito, acompanhamento e manutenção de registros de marcas</t>
  </si>
  <si>
    <t>Atuação em oposições, nulidades e defesas administrativas</t>
  </si>
  <si>
    <t>Gestão de portfólio de marcas (renovações, extensões e classes)</t>
  </si>
  <si>
    <t>Análise de riscos de colisão marcária</t>
  </si>
  <si>
    <t>Interface com escritórios especializados e o INPI</t>
  </si>
  <si>
    <t>Análise de patenteabilidade (jurídica, não técnica)</t>
  </si>
  <si>
    <t>Gestão de depósitos, acompanhamentos e prazos</t>
  </si>
  <si>
    <t>Avaliação de riscos de infração a patentes de terceiros (FTO)</t>
  </si>
  <si>
    <t>Proteção de obras intelectuais (textos, imagens, vídeos, músicas)</t>
  </si>
  <si>
    <t>Análise de titularidade de software desenvolvido internamente</t>
  </si>
  <si>
    <t>Definição de estratégias de proteção de informações confidenciais</t>
  </si>
  <si>
    <t>Elaboração e revisão de NDAs</t>
  </si>
  <si>
    <t>Apoio na prevenção de vazamento de informações estratégicas</t>
  </si>
  <si>
    <t>Avaliação de riscos em parcerias e projetos conjuntos</t>
  </si>
  <si>
    <t>Estruturação de contratos de licenciamento de marcas, patentes e software</t>
  </si>
  <si>
    <t>Apoio a ações judiciais e administrativas</t>
  </si>
  <si>
    <t>Combate à pirataria, concorrência desleal e uso indevido</t>
  </si>
  <si>
    <t>Criação de políticas internas de PI</t>
  </si>
  <si>
    <t>Monitoramento de registros de terceiros</t>
  </si>
  <si>
    <t>Análise de tendências e riscos concorrenciais</t>
  </si>
  <si>
    <t>Estratégia de Ativos Intangíveis</t>
  </si>
  <si>
    <t>Interpretação e aplicação da legislação trabalhista e previdenciária</t>
  </si>
  <si>
    <t>Apoio jurídico ao RH em decisões do dia a dia</t>
  </si>
  <si>
    <t>Avaliação de riscos trabalhistas em práticas internas</t>
  </si>
  <si>
    <t>Elaboração e revisão de contratos de trabalho</t>
  </si>
  <si>
    <t>Revisão de políticas internas e regulamentos</t>
  </si>
  <si>
    <t>Apoio jurídico em desligamentos e rescisões</t>
  </si>
  <si>
    <t>Estruturação de planos de remuneração fixa e variável</t>
  </si>
  <si>
    <t>Análise jurídica de bônus, comissões e PLR</t>
  </si>
  <si>
    <t>Avaliação de benefícios e impactos trabalhistas/previdenciários</t>
  </si>
  <si>
    <t>Apoio em programas de stock options e incentivos de longo prazo</t>
  </si>
  <si>
    <t>Análise de regimes de jornada e banco de horas</t>
  </si>
  <si>
    <t>Gestão de riscos relacionados a acidentes de trabalho</t>
  </si>
  <si>
    <t>Interpretação e negociação de acordos e convenções coletivas</t>
  </si>
  <si>
    <t>Apoio em negociações sindicais</t>
  </si>
  <si>
    <t>Atendimento a fiscalizações do Ministério do Trabalho</t>
  </si>
  <si>
    <t>Resposta a autos de infração</t>
  </si>
  <si>
    <t>Apoio em termos de ajustamento de conduta (TACs)</t>
  </si>
  <si>
    <t>Interface com Ministério Público do Trabalho</t>
  </si>
  <si>
    <t>Operações de Crédito e Financiamento</t>
  </si>
  <si>
    <t>Direito Financeiro e Bancário</t>
  </si>
  <si>
    <t>Estruturação de garantias (alienação fiduciária, penhor, hipoteca, fiança, aval)</t>
  </si>
  <si>
    <t>Registro de garantias em cartórios e sistemas competentes</t>
  </si>
  <si>
    <t>Gestão de vencimentos, liberações e substituições de garantias</t>
  </si>
  <si>
    <t>Apoio jurídico a emissões de valores mobiliários</t>
  </si>
  <si>
    <t>Estruturação jurídica de debêntures, CRI, CRA, notas comerciais</t>
  </si>
  <si>
    <t>Interface com assessores financeiros, bancos de investimento e reguladores</t>
  </si>
  <si>
    <t>Apoio em ofertas públicas e privadas</t>
  </si>
  <si>
    <t>Revisão de documentos de disclosure</t>
  </si>
  <si>
    <t>Interpretação de normas do Banco Central e do CMN</t>
  </si>
  <si>
    <t>Apoio em adequação regulatória de produtos financeiros</t>
  </si>
  <si>
    <t>Interface com reguladores e autorreguladores</t>
  </si>
  <si>
    <t>Monitoramento de mudanças regulatórias</t>
  </si>
  <si>
    <t>Avaliação de impactos regulatórios em operações</t>
  </si>
  <si>
    <t>Negociação jurídica com bancos e instituições de crédito</t>
  </si>
  <si>
    <t>Revisão de contratos bancários padrão</t>
  </si>
  <si>
    <t>Gestão de relacionamento jurídico-financeiro</t>
  </si>
  <si>
    <t>Análise de condições contratuais e riscos sistêmicos</t>
  </si>
  <si>
    <t>Estruturação de Produtos Financeiros</t>
  </si>
  <si>
    <t>Implementação de políticas internas de compliance financeiro</t>
  </si>
  <si>
    <t>Apoio a programas de prevenção à lavagem de dinheiro (PLD/FT)</t>
  </si>
  <si>
    <t>Apoio em auditorias internas e externas</t>
  </si>
  <si>
    <t>Gestão de litígios bancários e financeiros</t>
  </si>
  <si>
    <t>Apoio em processos administrativos regulatórios</t>
  </si>
  <si>
    <t>Interface com escritórios externos</t>
  </si>
  <si>
    <t>Avaliação de risco e provisões</t>
  </si>
  <si>
    <t>Estratégias de prevenção de litígios</t>
  </si>
  <si>
    <t>Apoio jurídico em renegociação de dívidas</t>
  </si>
  <si>
    <t>Interface com processos de recuperação judicial e extrajudicial</t>
  </si>
  <si>
    <t>Análise de impacto financeiro-jurídico</t>
  </si>
  <si>
    <t>Due diligence financeira e bancária</t>
  </si>
  <si>
    <t>Avaliação de endividamento e garantias</t>
  </si>
  <si>
    <t>Apoio na estruturação de financiamentos de aquisição</t>
  </si>
  <si>
    <t>Apoio jurídico à governança financeira corporativa</t>
  </si>
  <si>
    <t>Análise de políticas de endividamento</t>
  </si>
  <si>
    <t>Relatórios jurídicos de risco financeiro</t>
  </si>
  <si>
    <t>Interface com CFO, tesouraria e controladoria</t>
  </si>
  <si>
    <t>Monitoramento contínuo de normas da CVM, BCB, CMN e circulares associadas</t>
  </si>
  <si>
    <t>Análise de impactos regulatórios em operações, produtos e modelos de negócio</t>
  </si>
  <si>
    <t>Elaboração de pareceres e notas técnicas internas</t>
  </si>
  <si>
    <t>Tradução da norma para áreas de negócio, compliance e produto</t>
  </si>
  <si>
    <t>Direito Regulatório</t>
  </si>
  <si>
    <t>Apoio jurídico em pedidos de autorização ao BCB (instituições financeiras, fintechs, SCD, SEP, IPs)</t>
  </si>
  <si>
    <t>Registro de companhias abertas, emissores e participantes de mercado na CVM</t>
  </si>
  <si>
    <t>Alterações cadastrais e societárias perante CVM e BCB</t>
  </si>
  <si>
    <t>Interface com reguladores durante processos de autorização</t>
  </si>
  <si>
    <t>Estruturação de políticas exigidas por CVM e BCB</t>
  </si>
  <si>
    <t>Apoio jurídico à governança de instituições reguladas</t>
  </si>
  <si>
    <t>Análise de requisitos de administradores, conselheiros e diretores</t>
  </si>
  <si>
    <t>Avaliação de conflitos de interesses e deveres fiduciários</t>
  </si>
  <si>
    <t>Análise regulatória de novos produtos financeiros e de investimento</t>
  </si>
  <si>
    <t>Enquadramento jurídico-regulatório de tokens, valores mobiliários e instrumentos financeiros</t>
  </si>
  <si>
    <t>Apoio a ofertas públicas e privadas sob a ótica regulatória</t>
  </si>
  <si>
    <t>Interface com áreas de produto, tecnologia e negócios</t>
  </si>
  <si>
    <t>Apoio jurídico a ofertas públicas (ICVM 160 e correlatas)</t>
  </si>
  <si>
    <t>Revisão de prospectos, formulários de referência e fatos relevantes</t>
  </si>
  <si>
    <t>Apoio em obrigações periódicas e eventuais de companhias abertas</t>
  </si>
  <si>
    <t>Assessoria em relações com investidores (RI)</t>
  </si>
  <si>
    <t>Apoio regulatório a fundos de investimento</t>
  </si>
  <si>
    <t>Apoio jurídico em temas de capital mínimo e patrimônio de referência</t>
  </si>
  <si>
    <t>Análise de requisitos prudenciais e de liquidez</t>
  </si>
  <si>
    <t>Interface com áreas de risco, tesouraria e controles internos</t>
  </si>
  <si>
    <t>Avaliação de impactos de normas prudenciais em operações</t>
  </si>
  <si>
    <t>Resposta a ofícios, exigências e questionamentos da CVM e do BCB</t>
  </si>
  <si>
    <t>Preparação de informações e documentos para fiscalização</t>
  </si>
  <si>
    <t>Interface direta com equipes técnicas dos reguladores</t>
  </si>
  <si>
    <t>Gestão de prazos regulatórios críticos</t>
  </si>
  <si>
    <t>Atuação em processos administrativos na CVM e no BCB</t>
  </si>
  <si>
    <t>Elaboração de defesas, manifestações e recursos</t>
  </si>
  <si>
    <t>Análise de risco sancionador e reputacional</t>
  </si>
  <si>
    <t>Interface com escritórios externos especializados</t>
  </si>
  <si>
    <t>Análise regulatória de modelos inovadores (open finance, cripto, tokenização)</t>
  </si>
  <si>
    <t>Apoio jurídico em consultas públicas e audiências regulatórias</t>
  </si>
  <si>
    <t>Estruturação fiscal de operações e reorganizações</t>
  </si>
  <si>
    <t>Avaliação de eficiência e riscos tributários</t>
  </si>
  <si>
    <t>Interpretação da legislação tributária</t>
  </si>
  <si>
    <t>Respostas a consultas internas do negócio</t>
  </si>
  <si>
    <t>Apoio no cumprimento de obrigações fiscais</t>
  </si>
  <si>
    <t>Interface com contabilidade e fiscal</t>
  </si>
  <si>
    <t>Mapeamento de riscos fiscais</t>
  </si>
  <si>
    <t>Apoio em provisões e relatórios de risco</t>
  </si>
  <si>
    <t>Atuação em autos de infração</t>
  </si>
  <si>
    <t>Defesa em processos administrativos fiscais</t>
  </si>
  <si>
    <t>Estratégia e acompanhamento de ações judiciais</t>
  </si>
  <si>
    <t>Análise tributária de aquisições, cisões e incorporações</t>
  </si>
  <si>
    <t>Due diligence tributária</t>
  </si>
  <si>
    <t>Preços de transferência</t>
  </si>
  <si>
    <t>Tratados internacionais e remessas ao exterior</t>
  </si>
  <si>
    <t>Estruturação e manutenção de incentivos</t>
  </si>
  <si>
    <t>Análise de requisitos legais</t>
  </si>
  <si>
    <t>Acompanhamento de mudanças normativas</t>
  </si>
  <si>
    <t>Avaliação de impactos e estratégias de adaptação</t>
  </si>
  <si>
    <t>A01T01</t>
  </si>
  <si>
    <t>A01T02</t>
  </si>
  <si>
    <t>A01T03</t>
  </si>
  <si>
    <t>A01T04</t>
  </si>
  <si>
    <t>A01T05</t>
  </si>
  <si>
    <t>A01T06</t>
  </si>
  <si>
    <t>A01T07</t>
  </si>
  <si>
    <t>A01T08</t>
  </si>
  <si>
    <t>A01T09</t>
  </si>
  <si>
    <t>A01T10</t>
  </si>
  <si>
    <t>A01T11</t>
  </si>
  <si>
    <t>A01T12</t>
  </si>
  <si>
    <t>A01T13</t>
  </si>
  <si>
    <t>A01T14</t>
  </si>
  <si>
    <t>A01T15</t>
  </si>
  <si>
    <t>A01T16</t>
  </si>
  <si>
    <t>A01T17</t>
  </si>
  <si>
    <t>A01T18</t>
  </si>
  <si>
    <t>A01T19</t>
  </si>
  <si>
    <t>A01T20</t>
  </si>
  <si>
    <t>A01T21</t>
  </si>
  <si>
    <t>A01T22</t>
  </si>
  <si>
    <t>A01T23</t>
  </si>
  <si>
    <t>A01T24</t>
  </si>
  <si>
    <t>A01T25</t>
  </si>
  <si>
    <t>A01T26</t>
  </si>
  <si>
    <t>A01T27</t>
  </si>
  <si>
    <t>A01T28</t>
  </si>
  <si>
    <t>A02T01</t>
  </si>
  <si>
    <t>A02T02</t>
  </si>
  <si>
    <t>A02T03</t>
  </si>
  <si>
    <t>A02T04</t>
  </si>
  <si>
    <t>A02T05</t>
  </si>
  <si>
    <t>A02T06</t>
  </si>
  <si>
    <t>A02T07</t>
  </si>
  <si>
    <t>A02T08</t>
  </si>
  <si>
    <t>A02T09</t>
  </si>
  <si>
    <t>A02T10</t>
  </si>
  <si>
    <t>A02T11</t>
  </si>
  <si>
    <t>A02T12</t>
  </si>
  <si>
    <t>A02T13</t>
  </si>
  <si>
    <t>A02T14</t>
  </si>
  <si>
    <t>A03T01</t>
  </si>
  <si>
    <t>A03T02</t>
  </si>
  <si>
    <t>A03T03</t>
  </si>
  <si>
    <t>A03T04</t>
  </si>
  <si>
    <t>A03T05</t>
  </si>
  <si>
    <t>A03T06</t>
  </si>
  <si>
    <t>A03T07</t>
  </si>
  <si>
    <t>A03T08</t>
  </si>
  <si>
    <t>A03T09</t>
  </si>
  <si>
    <t>A04T01</t>
  </si>
  <si>
    <t>A04T02</t>
  </si>
  <si>
    <t>A04T03</t>
  </si>
  <si>
    <t>A04T04</t>
  </si>
  <si>
    <t>A04T05</t>
  </si>
  <si>
    <t>A04T06</t>
  </si>
  <si>
    <t>A04T07</t>
  </si>
  <si>
    <t>A04T08</t>
  </si>
  <si>
    <t>A04T09</t>
  </si>
  <si>
    <t>A04T10</t>
  </si>
  <si>
    <t>A04T11</t>
  </si>
  <si>
    <t>A04T12</t>
  </si>
  <si>
    <t>A04T13</t>
  </si>
  <si>
    <t>A04T14</t>
  </si>
  <si>
    <t>A04T15</t>
  </si>
  <si>
    <t>A04T16</t>
  </si>
  <si>
    <t>A04T17</t>
  </si>
  <si>
    <t>A04T18</t>
  </si>
  <si>
    <t>A04T19</t>
  </si>
  <si>
    <t>A04T20</t>
  </si>
  <si>
    <t>A05T01</t>
  </si>
  <si>
    <t>A05T02</t>
  </si>
  <si>
    <t>A05T03</t>
  </si>
  <si>
    <t>A05T04</t>
  </si>
  <si>
    <t>A05T05</t>
  </si>
  <si>
    <t>A05T06</t>
  </si>
  <si>
    <t>A05T07</t>
  </si>
  <si>
    <t>A05T08</t>
  </si>
  <si>
    <t>A05T09</t>
  </si>
  <si>
    <t>A05T10</t>
  </si>
  <si>
    <t>A05T11</t>
  </si>
  <si>
    <t>A05T12</t>
  </si>
  <si>
    <t>A05T13</t>
  </si>
  <si>
    <t>A05T14</t>
  </si>
  <si>
    <t>A05T15</t>
  </si>
  <si>
    <t>A05T16</t>
  </si>
  <si>
    <t>A05T17</t>
  </si>
  <si>
    <t>A05T18</t>
  </si>
  <si>
    <t>A05T19</t>
  </si>
  <si>
    <t>A05T20</t>
  </si>
  <si>
    <t>A06T01</t>
  </si>
  <si>
    <t>A06T02</t>
  </si>
  <si>
    <t>A06T03</t>
  </si>
  <si>
    <t>A06T04</t>
  </si>
  <si>
    <t>A06T05</t>
  </si>
  <si>
    <t>A06T06</t>
  </si>
  <si>
    <t>A06T07</t>
  </si>
  <si>
    <t>A06T08</t>
  </si>
  <si>
    <t>A06T09</t>
  </si>
  <si>
    <t>A06T10</t>
  </si>
  <si>
    <t>A06T11</t>
  </si>
  <si>
    <t>A06T12</t>
  </si>
  <si>
    <t>A06T13</t>
  </si>
  <si>
    <t>A06T14</t>
  </si>
  <si>
    <t>A06T15</t>
  </si>
  <si>
    <t>A06T16</t>
  </si>
  <si>
    <t>A06T17</t>
  </si>
  <si>
    <t>A07T01</t>
  </si>
  <si>
    <t>A07T02</t>
  </si>
  <si>
    <t>A07T03</t>
  </si>
  <si>
    <t>A07T04</t>
  </si>
  <si>
    <t>A07T05</t>
  </si>
  <si>
    <t>A07T06</t>
  </si>
  <si>
    <t>A07T07</t>
  </si>
  <si>
    <t>A07T08</t>
  </si>
  <si>
    <t>A07T09</t>
  </si>
  <si>
    <t>A07T10</t>
  </si>
  <si>
    <t>A07T11</t>
  </si>
  <si>
    <t>A07T12</t>
  </si>
  <si>
    <t>A07T13</t>
  </si>
  <si>
    <t>A07T14</t>
  </si>
  <si>
    <t>A07T15</t>
  </si>
  <si>
    <t>A07T16</t>
  </si>
  <si>
    <t>A07T17</t>
  </si>
  <si>
    <t>A07T18</t>
  </si>
  <si>
    <t>A07T19</t>
  </si>
  <si>
    <t>A07T20</t>
  </si>
  <si>
    <t>A07T21</t>
  </si>
  <si>
    <t>A07T22</t>
  </si>
  <si>
    <t>A07T23</t>
  </si>
  <si>
    <t>A07T24</t>
  </si>
  <si>
    <t>A07T25</t>
  </si>
  <si>
    <t>A07T26</t>
  </si>
  <si>
    <t>A07T27</t>
  </si>
  <si>
    <t>A07T28</t>
  </si>
  <si>
    <t>A07T29</t>
  </si>
  <si>
    <t>A07T30</t>
  </si>
  <si>
    <t>A07T31</t>
  </si>
  <si>
    <t>A07T32</t>
  </si>
  <si>
    <t>A08T01</t>
  </si>
  <si>
    <t>A08T02</t>
  </si>
  <si>
    <t>A08T03</t>
  </si>
  <si>
    <t>A08T04</t>
  </si>
  <si>
    <t>A08T05</t>
  </si>
  <si>
    <t>A08T06</t>
  </si>
  <si>
    <t>A08T07</t>
  </si>
  <si>
    <t>A08T08</t>
  </si>
  <si>
    <t>A08T09</t>
  </si>
  <si>
    <t>A08T10</t>
  </si>
  <si>
    <t>A08T11</t>
  </si>
  <si>
    <t>A08T12</t>
  </si>
  <si>
    <t>A08T13</t>
  </si>
  <si>
    <t>A08T14</t>
  </si>
  <si>
    <t>A08T15</t>
  </si>
  <si>
    <t>A08T16</t>
  </si>
  <si>
    <t>A08T17</t>
  </si>
  <si>
    <t>A08T18</t>
  </si>
  <si>
    <t>A08T19</t>
  </si>
  <si>
    <t>A08T20</t>
  </si>
  <si>
    <t>A08T21</t>
  </si>
  <si>
    <t>A09T01</t>
  </si>
  <si>
    <t>A09T02</t>
  </si>
  <si>
    <t>A09T03</t>
  </si>
  <si>
    <t>A09T04</t>
  </si>
  <si>
    <t>A09T05</t>
  </si>
  <si>
    <t>A09T06</t>
  </si>
  <si>
    <t>A09T07</t>
  </si>
  <si>
    <t>A09T08</t>
  </si>
  <si>
    <t>A09T09</t>
  </si>
  <si>
    <t>A09T10</t>
  </si>
  <si>
    <t>A09T11</t>
  </si>
  <si>
    <t>A09T12</t>
  </si>
  <si>
    <t>A09T13</t>
  </si>
  <si>
    <t>A09T14</t>
  </si>
  <si>
    <t>A09T15</t>
  </si>
  <si>
    <t>A09T16</t>
  </si>
  <si>
    <t>A09T17</t>
  </si>
  <si>
    <t>A09T18</t>
  </si>
  <si>
    <t>A09T19</t>
  </si>
  <si>
    <t>A10T01</t>
  </si>
  <si>
    <t>A10T02</t>
  </si>
  <si>
    <t>A10T03</t>
  </si>
  <si>
    <t>A10T04</t>
  </si>
  <si>
    <t>A10T05</t>
  </si>
  <si>
    <t>A10T06</t>
  </si>
  <si>
    <t>A10T07</t>
  </si>
  <si>
    <t>A10T08</t>
  </si>
  <si>
    <t>A10T09</t>
  </si>
  <si>
    <t>A10T10</t>
  </si>
  <si>
    <t>A10T11</t>
  </si>
  <si>
    <t>A10T12</t>
  </si>
  <si>
    <t>A10T13</t>
  </si>
  <si>
    <t>A10T14</t>
  </si>
  <si>
    <t>A10T15</t>
  </si>
  <si>
    <t>A10T16</t>
  </si>
  <si>
    <t>A10T17</t>
  </si>
  <si>
    <t>A10T18</t>
  </si>
  <si>
    <t>A10T19</t>
  </si>
  <si>
    <t>A10T20</t>
  </si>
  <si>
    <t>A10T21</t>
  </si>
  <si>
    <t>A10T22</t>
  </si>
  <si>
    <t>A10T23</t>
  </si>
  <si>
    <t>A10T24</t>
  </si>
  <si>
    <t>A10T25</t>
  </si>
  <si>
    <t>A10T26</t>
  </si>
  <si>
    <t>A10T27</t>
  </si>
  <si>
    <t>A10T28</t>
  </si>
  <si>
    <t>A10T29</t>
  </si>
  <si>
    <t>A10T30</t>
  </si>
  <si>
    <t>A10T31</t>
  </si>
  <si>
    <t>A10T32</t>
  </si>
  <si>
    <t>A10T33</t>
  </si>
  <si>
    <t>A10T34</t>
  </si>
  <si>
    <t>A10T35</t>
  </si>
  <si>
    <t>A10T36</t>
  </si>
  <si>
    <t>A10T37</t>
  </si>
  <si>
    <t>A11T01</t>
  </si>
  <si>
    <t>A11T02</t>
  </si>
  <si>
    <t>A11T03</t>
  </si>
  <si>
    <t>A11T04</t>
  </si>
  <si>
    <t>A11T05</t>
  </si>
  <si>
    <t>A11T06</t>
  </si>
  <si>
    <t>A11T07</t>
  </si>
  <si>
    <t>A11T08</t>
  </si>
  <si>
    <t>A11T09</t>
  </si>
  <si>
    <t>A11T10</t>
  </si>
  <si>
    <t>A11T11</t>
  </si>
  <si>
    <t>A11T12</t>
  </si>
  <si>
    <t>A11T13</t>
  </si>
  <si>
    <t>A11T14</t>
  </si>
  <si>
    <t>A11T15</t>
  </si>
  <si>
    <t>A11T16</t>
  </si>
  <si>
    <t>A11T17</t>
  </si>
  <si>
    <t>A11T18</t>
  </si>
  <si>
    <t>A11T19</t>
  </si>
  <si>
    <t>A11T20</t>
  </si>
  <si>
    <t>A11T21</t>
  </si>
  <si>
    <t>A11T22</t>
  </si>
  <si>
    <t>A11T23</t>
  </si>
  <si>
    <t>A11T24</t>
  </si>
  <si>
    <t>A11T25</t>
  </si>
  <si>
    <t>A11T26</t>
  </si>
  <si>
    <t>A11T27</t>
  </si>
  <si>
    <t>A11T28</t>
  </si>
  <si>
    <t>A11T29</t>
  </si>
  <si>
    <t>A11T30</t>
  </si>
  <si>
    <t>A11T31</t>
  </si>
  <si>
    <t>A11T32</t>
  </si>
  <si>
    <t>A11T33</t>
  </si>
  <si>
    <t>A11T34</t>
  </si>
  <si>
    <t>A11T35</t>
  </si>
  <si>
    <t>A12T01</t>
  </si>
  <si>
    <t>A12T02</t>
  </si>
  <si>
    <t>A12T03</t>
  </si>
  <si>
    <t>A12T04</t>
  </si>
  <si>
    <t>A12T05</t>
  </si>
  <si>
    <t>A12T06</t>
  </si>
  <si>
    <t>A12T07</t>
  </si>
  <si>
    <t>A12T08</t>
  </si>
  <si>
    <t>A12T09</t>
  </si>
  <si>
    <t>A12T10</t>
  </si>
  <si>
    <t>A12T11</t>
  </si>
  <si>
    <t>A12T12</t>
  </si>
  <si>
    <t>A12T13</t>
  </si>
  <si>
    <t>A12T14</t>
  </si>
  <si>
    <t>A12T15</t>
  </si>
  <si>
    <t>A12T16</t>
  </si>
  <si>
    <t>A12T17</t>
  </si>
  <si>
    <t>A12T18</t>
  </si>
  <si>
    <t>A12T19</t>
  </si>
  <si>
    <t>A12T20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</si>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</sst>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6">
    <dxf>
      <fill>
        <patternFill patternType="solid">
          <fgColor indexed="64"/>
          <bgColor theme="5" tint="0.39997558519241921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64" formatCode="0.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B1D744-50AF-4778-964D-04F00FDEB89F}" name="KPMG_legaldept" displayName="KPMG_legaldept" ref="A1:C33" totalsRowShown="0">
  <autoFilter ref="A1:C33" xr:uid="{FCB1D744-50AF-4778-964D-04F00FDEB89F}"/>
  <tableColumns count="3">
    <tableColumn id="1" xr3:uid="{1CFAF4D4-5BE9-41EF-8B58-CCF1E74620A2}" name="Área"/>
    <tableColumn id="3" xr3:uid="{8F573A50-609B-457F-ABBE-4E6AAD9072FE}" name="Junção"/>
    <tableColumn id="2" xr3:uid="{81870CEF-2122-441C-9B01-0DB82665A367}" name="Distribuição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41C404-171E-482E-B053-A8CCD1C34599}" name="Tabela2" displayName="Tabela2" ref="B2:D274" totalsRowShown="0">
  <autoFilter ref="B2:D274" xr:uid="{5F41C404-171E-482E-B053-A8CCD1C34599}"/>
  <tableColumns count="3">
    <tableColumn id="1" xr3:uid="{24FD704F-3295-4CD3-ACBE-B04A32B73C91}" name="ID"/>
    <tableColumn id="2" xr3:uid="{53E62864-523A-455D-A6C9-AF7EB7C2A777}" name="Área"/>
    <tableColumn id="3" xr3:uid="{7B79742D-4069-4165-B85F-4D17C7B6C7BF}" name="Ativida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C0F232-0A14-4727-9BA8-BDC5F699B63C}" name="Tabela3" displayName="Tabela3" ref="B2:N16" totalsRowShown="0" headerRowDxfId="14" dataDxfId="13">
  <autoFilter ref="B2:N16" xr:uid="{57C0F232-0A14-4727-9BA8-BDC5F699B63C}"/>
  <tableColumns count="13">
    <tableColumn id="1" xr3:uid="{3B89C43B-8318-444B-A9E7-B8464BA938E6}" name="Categoria" dataDxfId="12"/>
    <tableColumn id="2" xr3:uid="{A976ACCA-C5BF-4AE7-B144-29FAA7443708}" name="Grupo de Contratos" dataDxfId="11"/>
    <tableColumn id="3" xr3:uid="{ABAD6633-D6A4-4144-8705-18B397B7DA15}" name="Densidade Normativa" dataDxfId="10"/>
    <tableColumn id="4" xr3:uid="{151FBB03-8612-4248-935C-FA76754301D2}" name="Risco Jurídico e Financeiro" dataDxfId="9"/>
    <tableColumn id="5" xr3:uid="{102145E0-1EF3-4DAA-8EFB-B80FA8D28926}" name="Grau de Customização" dataDxfId="8"/>
    <tableColumn id="6" xr3:uid="{A3242CC8-99C8-4BBC-91A5-2CFFA3315FC7}" name="Interdisciplinaridade" dataDxfId="7"/>
    <tableColumn id="7" xr3:uid="{52F0BEB6-5AFD-44E5-8EC1-11A681F547E0}" name="Exigência de Senioridade" dataDxfId="6"/>
    <tableColumn id="8" xr3:uid="{1B75E54D-11D7-4174-B915-75316171809C}" name="Complexidade (Síntese)" dataDxfId="5"/>
    <tableColumn id="9" xr3:uid="{77BD5AC8-FF04-4E7A-B4BB-77F441197F6A}" name="Incidência no Dia a Dia" dataDxfId="4"/>
    <tableColumn id="10" xr3:uid="{83781B6D-6F2B-4CB1-8C7D-652D1BAF5C18}" name="Universalidade" dataDxfId="3"/>
    <tableColumn id="11" xr3:uid="{7F5AB6EA-17C8-4F20-AC83-D98C1DDF019A}" name="Ciclo de Vida" dataDxfId="2"/>
    <tableColumn id="12" xr3:uid="{4C8D8ECA-2018-4999-8DB0-B48197966AE4}" name="Volume Operacional" dataDxfId="1"/>
    <tableColumn id="13" xr3:uid="{450419B1-2A12-4CDF-AF38-E3CAF6227C74}" name="Frequência (Síntese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2C355-9AA3-4F8A-9F19-21099352C431}">
  <dimension ref="A1:F33"/>
  <sheetViews>
    <sheetView workbookViewId="0">
      <selection activeCell="E2" sqref="E2:E13"/>
    </sheetView>
  </sheetViews>
  <sheetFormatPr defaultRowHeight="15" x14ac:dyDescent="0.25"/>
  <cols>
    <col min="1" max="2" width="46.5703125" customWidth="1"/>
    <col min="3" max="3" width="14.5703125" customWidth="1"/>
    <col min="5" max="5" width="22.5703125" customWidth="1"/>
    <col min="6" max="6" width="14.85546875" customWidth="1"/>
  </cols>
  <sheetData>
    <row r="1" spans="1:6" x14ac:dyDescent="0.25">
      <c r="A1" t="s">
        <v>31</v>
      </c>
      <c r="B1" t="s">
        <v>33</v>
      </c>
      <c r="C1" t="s">
        <v>32</v>
      </c>
      <c r="E1" t="s">
        <v>31</v>
      </c>
      <c r="F1" t="s">
        <v>32</v>
      </c>
    </row>
    <row r="2" spans="1:6" x14ac:dyDescent="0.25">
      <c r="A2" t="s">
        <v>2</v>
      </c>
      <c r="B2" t="s">
        <v>34</v>
      </c>
      <c r="C2" s="1">
        <v>0.17899999999999999</v>
      </c>
      <c r="E2" s="6" t="str" cm="1">
        <f t="array" ref="E2:E13">_xlfn.UNIQUE(B2:B32)</f>
        <v>Contratos</v>
      </c>
      <c r="F2" s="2">
        <f>SUMIF($B$2:$B$32,E2,KPMG_legaldept[Distribuição])</f>
        <v>0.30500000000000005</v>
      </c>
    </row>
    <row r="3" spans="1:6" x14ac:dyDescent="0.25">
      <c r="A3" t="s">
        <v>3</v>
      </c>
      <c r="B3" t="s">
        <v>35</v>
      </c>
      <c r="C3" s="1">
        <v>8.2000000000000003E-2</v>
      </c>
      <c r="E3" s="6" t="str">
        <v>Societário</v>
      </c>
      <c r="F3" s="2">
        <f>SUMIF($B$2:$B$32,E3,KPMG_legaldept[Distribuição])</f>
        <v>0.105</v>
      </c>
    </row>
    <row r="4" spans="1:6" x14ac:dyDescent="0.25">
      <c r="A4" t="s">
        <v>4</v>
      </c>
      <c r="B4" t="s">
        <v>36</v>
      </c>
      <c r="C4" s="1">
        <v>7.6999999999999999E-2</v>
      </c>
      <c r="E4" s="6" t="str">
        <v>Concorrencial</v>
      </c>
      <c r="F4" s="2">
        <f>SUMIF($B$2:$B$32,E4,KPMG_legaldept[Distribuição])</f>
        <v>7.6999999999999999E-2</v>
      </c>
    </row>
    <row r="5" spans="1:6" x14ac:dyDescent="0.25">
      <c r="A5" t="s">
        <v>5</v>
      </c>
      <c r="B5" t="s">
        <v>37</v>
      </c>
      <c r="C5" s="1">
        <v>6.2E-2</v>
      </c>
      <c r="E5" s="6" t="str">
        <v>Governança</v>
      </c>
      <c r="F5" s="2">
        <f>SUMIF($B$2:$B$32,E5,KPMG_legaldept[Distribuição])</f>
        <v>8.5999999999999993E-2</v>
      </c>
    </row>
    <row r="6" spans="1:6" x14ac:dyDescent="0.25">
      <c r="A6" t="s">
        <v>6</v>
      </c>
      <c r="B6" t="s">
        <v>38</v>
      </c>
      <c r="C6" s="1">
        <v>5.0999999999999997E-2</v>
      </c>
      <c r="E6" s="6" t="str">
        <v>Contencioso</v>
      </c>
      <c r="F6" s="2">
        <f>SUMIF($B$2:$B$32,E6,KPMG_legaldept[Distribuição])</f>
        <v>5.7999999999999996E-2</v>
      </c>
    </row>
    <row r="7" spans="1:6" x14ac:dyDescent="0.25">
      <c r="A7" t="s">
        <v>0</v>
      </c>
      <c r="B7" t="s">
        <v>0</v>
      </c>
      <c r="C7" s="1">
        <v>4.7E-2</v>
      </c>
      <c r="E7" s="6" t="str">
        <v>M&amp;A</v>
      </c>
      <c r="F7" s="2">
        <f>SUMIF($B$2:$B$32,E7,KPMG_legaldept[Distribuição])</f>
        <v>4.7E-2</v>
      </c>
    </row>
    <row r="8" spans="1:6" x14ac:dyDescent="0.25">
      <c r="A8" t="s">
        <v>7</v>
      </c>
      <c r="B8" t="s">
        <v>34</v>
      </c>
      <c r="C8" s="1">
        <v>4.3999999999999997E-2</v>
      </c>
      <c r="E8" s="6" t="str">
        <v>Direito digital</v>
      </c>
      <c r="F8" s="2">
        <f>SUMIF($B$2:$B$32,E8,KPMG_legaldept[Distribuição])</f>
        <v>6.8000000000000005E-2</v>
      </c>
    </row>
    <row r="9" spans="1:6" x14ac:dyDescent="0.25">
      <c r="A9" t="s">
        <v>8</v>
      </c>
      <c r="B9" t="s">
        <v>42</v>
      </c>
      <c r="C9" s="1">
        <v>3.7999999999999999E-2</v>
      </c>
      <c r="E9" s="6" t="str">
        <v>Propriedade Intelectual</v>
      </c>
      <c r="F9" s="2">
        <f>SUMIF($B$2:$B$32,E9,KPMG_legaldept[Distribuição])</f>
        <v>3.2000000000000001E-2</v>
      </c>
    </row>
    <row r="10" spans="1:6" x14ac:dyDescent="0.25">
      <c r="A10" t="s">
        <v>9</v>
      </c>
      <c r="B10" t="s">
        <v>34</v>
      </c>
      <c r="C10" s="1">
        <v>3.5000000000000003E-2</v>
      </c>
      <c r="E10" s="6" t="str">
        <v>Trabalhista</v>
      </c>
      <c r="F10" s="2">
        <f>SUMIF($B$2:$B$32,E10,KPMG_legaldept[Distribuição])</f>
        <v>3.1E-2</v>
      </c>
    </row>
    <row r="11" spans="1:6" x14ac:dyDescent="0.25">
      <c r="A11" t="s">
        <v>10</v>
      </c>
      <c r="B11" t="s">
        <v>39</v>
      </c>
      <c r="C11" s="1">
        <v>3.2000000000000001E-2</v>
      </c>
      <c r="E11" s="6" t="str">
        <v>Direito financeiro</v>
      </c>
      <c r="F11" s="2">
        <f>SUMIF($B$2:$B$32,E11,KPMG_legaldept[Distribuição])</f>
        <v>7.3999999999999996E-2</v>
      </c>
    </row>
    <row r="12" spans="1:6" x14ac:dyDescent="0.25">
      <c r="A12" t="s">
        <v>11</v>
      </c>
      <c r="B12" t="s">
        <v>40</v>
      </c>
      <c r="C12" s="1">
        <v>3.1E-2</v>
      </c>
      <c r="E12" s="6" t="str">
        <v>Regulatório</v>
      </c>
      <c r="F12" s="2">
        <f>SUMIF($B$2:$B$32,E12,KPMG_legaldept[Distribuição])</f>
        <v>0.111</v>
      </c>
    </row>
    <row r="13" spans="1:6" x14ac:dyDescent="0.25">
      <c r="A13" t="s">
        <v>12</v>
      </c>
      <c r="B13" t="s">
        <v>41</v>
      </c>
      <c r="C13" s="1">
        <v>3.1E-2</v>
      </c>
      <c r="E13" t="str">
        <v>Tributário</v>
      </c>
      <c r="F13" s="2">
        <f>SUMIF($B$2:$B$32,E13,KPMG_legaldept[Distribuição])</f>
        <v>6.0000000000000001E-3</v>
      </c>
    </row>
    <row r="14" spans="1:6" x14ac:dyDescent="0.25">
      <c r="A14" t="s">
        <v>13</v>
      </c>
      <c r="B14" t="s">
        <v>42</v>
      </c>
      <c r="C14" s="1">
        <v>0.03</v>
      </c>
      <c r="E14" t="s">
        <v>45</v>
      </c>
      <c r="F14" s="2">
        <f>SUM(F2:F13)</f>
        <v>1</v>
      </c>
    </row>
    <row r="15" spans="1:6" x14ac:dyDescent="0.25">
      <c r="A15" t="s">
        <v>14</v>
      </c>
      <c r="B15" t="s">
        <v>41</v>
      </c>
      <c r="C15" s="1">
        <v>2.7E-2</v>
      </c>
    </row>
    <row r="16" spans="1:6" x14ac:dyDescent="0.25">
      <c r="A16" t="s">
        <v>15</v>
      </c>
      <c r="B16" t="s">
        <v>43</v>
      </c>
      <c r="C16" s="1">
        <v>2.7E-2</v>
      </c>
    </row>
    <row r="17" spans="1:3" x14ac:dyDescent="0.25">
      <c r="A17" t="s">
        <v>16</v>
      </c>
      <c r="B17" t="s">
        <v>43</v>
      </c>
      <c r="C17" s="1">
        <v>2.5999999999999999E-2</v>
      </c>
    </row>
    <row r="18" spans="1:3" x14ac:dyDescent="0.25">
      <c r="A18" t="s">
        <v>17</v>
      </c>
      <c r="B18" t="s">
        <v>37</v>
      </c>
      <c r="C18" s="1">
        <v>2.4E-2</v>
      </c>
    </row>
    <row r="19" spans="1:3" x14ac:dyDescent="0.25">
      <c r="A19" t="s">
        <v>18</v>
      </c>
      <c r="B19" t="s">
        <v>34</v>
      </c>
      <c r="C19" s="1">
        <v>1.9E-2</v>
      </c>
    </row>
    <row r="20" spans="1:3" x14ac:dyDescent="0.25">
      <c r="A20" t="s">
        <v>19</v>
      </c>
      <c r="B20" t="s">
        <v>43</v>
      </c>
      <c r="C20" s="1">
        <v>1.9E-2</v>
      </c>
    </row>
    <row r="21" spans="1:3" x14ac:dyDescent="0.25">
      <c r="A21" t="s">
        <v>20</v>
      </c>
      <c r="B21" t="s">
        <v>34</v>
      </c>
      <c r="C21" s="1">
        <v>1.7000000000000001E-2</v>
      </c>
    </row>
    <row r="22" spans="1:3" x14ac:dyDescent="0.25">
      <c r="A22" t="s">
        <v>21</v>
      </c>
      <c r="B22" t="s">
        <v>41</v>
      </c>
      <c r="C22" s="1">
        <v>1.6E-2</v>
      </c>
    </row>
    <row r="23" spans="1:3" x14ac:dyDescent="0.25">
      <c r="A23" t="s">
        <v>22</v>
      </c>
      <c r="B23" t="s">
        <v>43</v>
      </c>
      <c r="C23" s="1">
        <v>1.3999999999999999E-2</v>
      </c>
    </row>
    <row r="24" spans="1:3" x14ac:dyDescent="0.25">
      <c r="A24" t="s">
        <v>23</v>
      </c>
      <c r="B24" t="s">
        <v>35</v>
      </c>
      <c r="C24" s="1">
        <v>1.3000000000000001E-2</v>
      </c>
    </row>
    <row r="25" spans="1:3" x14ac:dyDescent="0.25">
      <c r="A25" t="s">
        <v>24</v>
      </c>
      <c r="B25" t="s">
        <v>34</v>
      </c>
      <c r="C25" s="1">
        <v>1.1000000000000001E-2</v>
      </c>
    </row>
    <row r="26" spans="1:3" x14ac:dyDescent="0.25">
      <c r="A26" t="s">
        <v>25</v>
      </c>
      <c r="B26" t="s">
        <v>43</v>
      </c>
      <c r="C26" s="1">
        <v>1.1000000000000001E-2</v>
      </c>
    </row>
    <row r="27" spans="1:3" x14ac:dyDescent="0.25">
      <c r="A27" t="s">
        <v>46</v>
      </c>
      <c r="B27" t="s">
        <v>35</v>
      </c>
      <c r="C27" s="1">
        <v>0.01</v>
      </c>
    </row>
    <row r="28" spans="1:3" x14ac:dyDescent="0.25">
      <c r="A28" t="s">
        <v>26</v>
      </c>
      <c r="B28" t="s">
        <v>38</v>
      </c>
      <c r="C28" s="1">
        <v>7.0000000000000001E-3</v>
      </c>
    </row>
    <row r="29" spans="1:3" x14ac:dyDescent="0.25">
      <c r="A29" t="s">
        <v>27</v>
      </c>
      <c r="B29" t="s">
        <v>43</v>
      </c>
      <c r="C29" s="1">
        <v>7.0000000000000001E-3</v>
      </c>
    </row>
    <row r="30" spans="1:3" x14ac:dyDescent="0.25">
      <c r="A30" t="s">
        <v>28</v>
      </c>
      <c r="B30" t="s">
        <v>43</v>
      </c>
      <c r="C30" s="1">
        <v>6.0000000000000001E-3</v>
      </c>
    </row>
    <row r="31" spans="1:3" x14ac:dyDescent="0.25">
      <c r="A31" t="s">
        <v>29</v>
      </c>
      <c r="B31" t="s">
        <v>44</v>
      </c>
      <c r="C31" s="1">
        <v>6.0000000000000001E-3</v>
      </c>
    </row>
    <row r="32" spans="1:3" x14ac:dyDescent="0.25">
      <c r="A32" t="s">
        <v>30</v>
      </c>
      <c r="B32" t="s">
        <v>43</v>
      </c>
      <c r="C32" s="1">
        <v>1E-3</v>
      </c>
    </row>
    <row r="33" spans="1:3" x14ac:dyDescent="0.25">
      <c r="A33" t="s">
        <v>1</v>
      </c>
      <c r="C33" s="1">
        <f>SUM(C2:C32)</f>
        <v>1.0000000000000004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BBE5-1AF1-47F6-9F08-A1294B72C2AF}">
  <dimension ref="B2:D274"/>
  <sheetViews>
    <sheetView topLeftCell="A214" workbookViewId="0">
      <selection activeCell="B3" sqref="B3"/>
    </sheetView>
  </sheetViews>
  <sheetFormatPr defaultRowHeight="15" x14ac:dyDescent="0.25"/>
  <cols>
    <col min="1" max="1" width="4.7109375" customWidth="1"/>
    <col min="2" max="2" width="10.42578125" customWidth="1"/>
    <col min="3" max="3" width="27" bestFit="1" customWidth="1"/>
    <col min="4" max="4" width="87.28515625" bestFit="1" customWidth="1"/>
  </cols>
  <sheetData>
    <row r="2" spans="2:4" x14ac:dyDescent="0.25">
      <c r="B2" t="s">
        <v>649</v>
      </c>
      <c r="C2" t="s">
        <v>31</v>
      </c>
      <c r="D2" t="s">
        <v>96</v>
      </c>
    </row>
    <row r="3" spans="2:4" x14ac:dyDescent="0.25">
      <c r="B3" t="s">
        <v>377</v>
      </c>
      <c r="C3" t="s">
        <v>34</v>
      </c>
      <c r="D3" t="s">
        <v>118</v>
      </c>
    </row>
    <row r="4" spans="2:4" x14ac:dyDescent="0.25">
      <c r="B4" t="s">
        <v>378</v>
      </c>
      <c r="C4" t="s">
        <v>34</v>
      </c>
      <c r="D4" t="s">
        <v>119</v>
      </c>
    </row>
    <row r="5" spans="2:4" x14ac:dyDescent="0.25">
      <c r="B5" t="s">
        <v>379</v>
      </c>
      <c r="C5" t="s">
        <v>34</v>
      </c>
      <c r="D5" t="s">
        <v>121</v>
      </c>
    </row>
    <row r="6" spans="2:4" x14ac:dyDescent="0.25">
      <c r="B6" t="s">
        <v>380</v>
      </c>
      <c r="C6" t="s">
        <v>34</v>
      </c>
      <c r="D6" t="s">
        <v>120</v>
      </c>
    </row>
    <row r="7" spans="2:4" x14ac:dyDescent="0.25">
      <c r="B7" t="s">
        <v>381</v>
      </c>
      <c r="C7" t="s">
        <v>34</v>
      </c>
      <c r="D7" t="s">
        <v>122</v>
      </c>
    </row>
    <row r="8" spans="2:4" x14ac:dyDescent="0.25">
      <c r="B8" t="s">
        <v>382</v>
      </c>
      <c r="C8" t="s">
        <v>34</v>
      </c>
      <c r="D8" t="s">
        <v>123</v>
      </c>
    </row>
    <row r="9" spans="2:4" x14ac:dyDescent="0.25">
      <c r="B9" t="s">
        <v>383</v>
      </c>
      <c r="C9" t="s">
        <v>34</v>
      </c>
      <c r="D9" t="s">
        <v>124</v>
      </c>
    </row>
    <row r="10" spans="2:4" x14ac:dyDescent="0.25">
      <c r="B10" t="s">
        <v>384</v>
      </c>
      <c r="C10" t="s">
        <v>34</v>
      </c>
      <c r="D10" t="s">
        <v>125</v>
      </c>
    </row>
    <row r="11" spans="2:4" x14ac:dyDescent="0.25">
      <c r="B11" t="s">
        <v>385</v>
      </c>
      <c r="C11" t="s">
        <v>34</v>
      </c>
      <c r="D11" t="s">
        <v>127</v>
      </c>
    </row>
    <row r="12" spans="2:4" x14ac:dyDescent="0.25">
      <c r="B12" t="s">
        <v>386</v>
      </c>
      <c r="C12" t="s">
        <v>34</v>
      </c>
      <c r="D12" t="s">
        <v>126</v>
      </c>
    </row>
    <row r="13" spans="2:4" x14ac:dyDescent="0.25">
      <c r="B13" t="s">
        <v>387</v>
      </c>
      <c r="C13" t="s">
        <v>34</v>
      </c>
      <c r="D13" t="s">
        <v>128</v>
      </c>
    </row>
    <row r="14" spans="2:4" x14ac:dyDescent="0.25">
      <c r="B14" t="s">
        <v>388</v>
      </c>
      <c r="C14" t="s">
        <v>34</v>
      </c>
      <c r="D14" t="s">
        <v>129</v>
      </c>
    </row>
    <row r="15" spans="2:4" x14ac:dyDescent="0.25">
      <c r="B15" t="s">
        <v>389</v>
      </c>
      <c r="C15" t="s">
        <v>34</v>
      </c>
      <c r="D15" t="s">
        <v>130</v>
      </c>
    </row>
    <row r="16" spans="2:4" x14ac:dyDescent="0.25">
      <c r="B16" t="s">
        <v>390</v>
      </c>
      <c r="C16" t="s">
        <v>34</v>
      </c>
      <c r="D16" t="s">
        <v>131</v>
      </c>
    </row>
    <row r="17" spans="2:4" x14ac:dyDescent="0.25">
      <c r="B17" t="s">
        <v>391</v>
      </c>
      <c r="C17" t="s">
        <v>34</v>
      </c>
      <c r="D17" t="s">
        <v>132</v>
      </c>
    </row>
    <row r="18" spans="2:4" x14ac:dyDescent="0.25">
      <c r="B18" t="s">
        <v>392</v>
      </c>
      <c r="C18" t="s">
        <v>34</v>
      </c>
      <c r="D18" t="s">
        <v>133</v>
      </c>
    </row>
    <row r="19" spans="2:4" x14ac:dyDescent="0.25">
      <c r="B19" t="s">
        <v>393</v>
      </c>
      <c r="C19" t="s">
        <v>34</v>
      </c>
      <c r="D19" t="s">
        <v>134</v>
      </c>
    </row>
    <row r="20" spans="2:4" x14ac:dyDescent="0.25">
      <c r="B20" t="s">
        <v>394</v>
      </c>
      <c r="C20" t="s">
        <v>34</v>
      </c>
      <c r="D20" t="s">
        <v>135</v>
      </c>
    </row>
    <row r="21" spans="2:4" x14ac:dyDescent="0.25">
      <c r="B21" t="s">
        <v>395</v>
      </c>
      <c r="C21" t="s">
        <v>34</v>
      </c>
      <c r="D21" t="s">
        <v>136</v>
      </c>
    </row>
    <row r="22" spans="2:4" x14ac:dyDescent="0.25">
      <c r="B22" t="s">
        <v>396</v>
      </c>
      <c r="C22" t="s">
        <v>34</v>
      </c>
      <c r="D22" t="s">
        <v>137</v>
      </c>
    </row>
    <row r="23" spans="2:4" x14ac:dyDescent="0.25">
      <c r="B23" t="s">
        <v>397</v>
      </c>
      <c r="C23" t="s">
        <v>34</v>
      </c>
      <c r="D23" t="s">
        <v>138</v>
      </c>
    </row>
    <row r="24" spans="2:4" x14ac:dyDescent="0.25">
      <c r="B24" t="s">
        <v>398</v>
      </c>
      <c r="C24" t="s">
        <v>34</v>
      </c>
      <c r="D24" t="s">
        <v>139</v>
      </c>
    </row>
    <row r="25" spans="2:4" x14ac:dyDescent="0.25">
      <c r="B25" t="s">
        <v>399</v>
      </c>
      <c r="C25" t="s">
        <v>34</v>
      </c>
      <c r="D25" t="s">
        <v>140</v>
      </c>
    </row>
    <row r="26" spans="2:4" x14ac:dyDescent="0.25">
      <c r="B26" t="s">
        <v>400</v>
      </c>
      <c r="C26" t="s">
        <v>34</v>
      </c>
      <c r="D26" t="s">
        <v>141</v>
      </c>
    </row>
    <row r="27" spans="2:4" x14ac:dyDescent="0.25">
      <c r="B27" t="s">
        <v>401</v>
      </c>
      <c r="C27" t="s">
        <v>34</v>
      </c>
      <c r="D27" t="s">
        <v>142</v>
      </c>
    </row>
    <row r="28" spans="2:4" x14ac:dyDescent="0.25">
      <c r="B28" t="s">
        <v>402</v>
      </c>
      <c r="C28" t="s">
        <v>34</v>
      </c>
      <c r="D28" t="s">
        <v>143</v>
      </c>
    </row>
    <row r="29" spans="2:4" x14ac:dyDescent="0.25">
      <c r="B29" t="s">
        <v>403</v>
      </c>
      <c r="C29" t="s">
        <v>34</v>
      </c>
      <c r="D29" t="s">
        <v>144</v>
      </c>
    </row>
    <row r="30" spans="2:4" x14ac:dyDescent="0.25">
      <c r="B30" t="s">
        <v>404</v>
      </c>
      <c r="C30" t="s">
        <v>34</v>
      </c>
      <c r="D30" t="s">
        <v>145</v>
      </c>
    </row>
    <row r="31" spans="2:4" x14ac:dyDescent="0.25">
      <c r="B31" t="s">
        <v>405</v>
      </c>
      <c r="C31" t="s">
        <v>35</v>
      </c>
      <c r="D31" t="s">
        <v>99</v>
      </c>
    </row>
    <row r="32" spans="2:4" x14ac:dyDescent="0.25">
      <c r="B32" t="s">
        <v>406</v>
      </c>
      <c r="C32" t="s">
        <v>35</v>
      </c>
      <c r="D32" t="s">
        <v>100</v>
      </c>
    </row>
    <row r="33" spans="2:4" x14ac:dyDescent="0.25">
      <c r="B33" t="s">
        <v>407</v>
      </c>
      <c r="C33" t="s">
        <v>35</v>
      </c>
      <c r="D33" t="s">
        <v>101</v>
      </c>
    </row>
    <row r="34" spans="2:4" x14ac:dyDescent="0.25">
      <c r="B34" t="s">
        <v>408</v>
      </c>
      <c r="C34" t="s">
        <v>35</v>
      </c>
      <c r="D34" t="s">
        <v>102</v>
      </c>
    </row>
    <row r="35" spans="2:4" x14ac:dyDescent="0.25">
      <c r="B35" t="s">
        <v>409</v>
      </c>
      <c r="C35" t="s">
        <v>35</v>
      </c>
      <c r="D35" t="s">
        <v>104</v>
      </c>
    </row>
    <row r="36" spans="2:4" x14ac:dyDescent="0.25">
      <c r="B36" t="s">
        <v>410</v>
      </c>
      <c r="C36" t="s">
        <v>35</v>
      </c>
      <c r="D36" t="s">
        <v>105</v>
      </c>
    </row>
    <row r="37" spans="2:4" x14ac:dyDescent="0.25">
      <c r="B37" t="s">
        <v>411</v>
      </c>
      <c r="C37" t="s">
        <v>35</v>
      </c>
      <c r="D37" t="s">
        <v>107</v>
      </c>
    </row>
    <row r="38" spans="2:4" x14ac:dyDescent="0.25">
      <c r="B38" t="s">
        <v>412</v>
      </c>
      <c r="C38" t="s">
        <v>35</v>
      </c>
      <c r="D38" t="s">
        <v>108</v>
      </c>
    </row>
    <row r="39" spans="2:4" x14ac:dyDescent="0.25">
      <c r="B39" t="s">
        <v>413</v>
      </c>
      <c r="C39" t="s">
        <v>35</v>
      </c>
      <c r="D39" t="s">
        <v>110</v>
      </c>
    </row>
    <row r="40" spans="2:4" x14ac:dyDescent="0.25">
      <c r="B40" t="s">
        <v>414</v>
      </c>
      <c r="C40" t="s">
        <v>35</v>
      </c>
      <c r="D40" t="s">
        <v>111</v>
      </c>
    </row>
    <row r="41" spans="2:4" x14ac:dyDescent="0.25">
      <c r="B41" t="s">
        <v>415</v>
      </c>
      <c r="C41" t="s">
        <v>35</v>
      </c>
      <c r="D41" t="s">
        <v>112</v>
      </c>
    </row>
    <row r="42" spans="2:4" x14ac:dyDescent="0.25">
      <c r="B42" t="s">
        <v>416</v>
      </c>
      <c r="C42" t="s">
        <v>35</v>
      </c>
      <c r="D42" t="s">
        <v>113</v>
      </c>
    </row>
    <row r="43" spans="2:4" x14ac:dyDescent="0.25">
      <c r="B43" t="s">
        <v>417</v>
      </c>
      <c r="C43" t="s">
        <v>35</v>
      </c>
      <c r="D43" t="s">
        <v>115</v>
      </c>
    </row>
    <row r="44" spans="2:4" x14ac:dyDescent="0.25">
      <c r="B44" t="s">
        <v>418</v>
      </c>
      <c r="C44" t="s">
        <v>35</v>
      </c>
      <c r="D44" t="s">
        <v>117</v>
      </c>
    </row>
    <row r="45" spans="2:4" x14ac:dyDescent="0.25">
      <c r="B45" t="s">
        <v>419</v>
      </c>
      <c r="C45" t="s">
        <v>36</v>
      </c>
      <c r="D45" t="s">
        <v>146</v>
      </c>
    </row>
    <row r="46" spans="2:4" x14ac:dyDescent="0.25">
      <c r="B46" t="s">
        <v>420</v>
      </c>
      <c r="C46" t="s">
        <v>36</v>
      </c>
      <c r="D46" t="s">
        <v>147</v>
      </c>
    </row>
    <row r="47" spans="2:4" x14ac:dyDescent="0.25">
      <c r="B47" t="s">
        <v>421</v>
      </c>
      <c r="C47" t="s">
        <v>36</v>
      </c>
      <c r="D47" t="s">
        <v>148</v>
      </c>
    </row>
    <row r="48" spans="2:4" x14ac:dyDescent="0.25">
      <c r="B48" t="s">
        <v>422</v>
      </c>
      <c r="C48" t="s">
        <v>36</v>
      </c>
      <c r="D48" t="s">
        <v>149</v>
      </c>
    </row>
    <row r="49" spans="2:4" x14ac:dyDescent="0.25">
      <c r="B49" t="s">
        <v>423</v>
      </c>
      <c r="C49" t="s">
        <v>36</v>
      </c>
      <c r="D49" t="s">
        <v>150</v>
      </c>
    </row>
    <row r="50" spans="2:4" x14ac:dyDescent="0.25">
      <c r="B50" t="s">
        <v>424</v>
      </c>
      <c r="C50" t="s">
        <v>36</v>
      </c>
      <c r="D50" t="s">
        <v>151</v>
      </c>
    </row>
    <row r="51" spans="2:4" x14ac:dyDescent="0.25">
      <c r="B51" t="s">
        <v>425</v>
      </c>
      <c r="C51" t="s">
        <v>36</v>
      </c>
      <c r="D51" t="s">
        <v>152</v>
      </c>
    </row>
    <row r="52" spans="2:4" x14ac:dyDescent="0.25">
      <c r="B52" t="s">
        <v>426</v>
      </c>
      <c r="C52" t="s">
        <v>36</v>
      </c>
      <c r="D52" t="s">
        <v>153</v>
      </c>
    </row>
    <row r="53" spans="2:4" x14ac:dyDescent="0.25">
      <c r="B53" t="s">
        <v>427</v>
      </c>
      <c r="C53" t="s">
        <v>36</v>
      </c>
      <c r="D53" t="s">
        <v>154</v>
      </c>
    </row>
    <row r="54" spans="2:4" x14ac:dyDescent="0.25">
      <c r="B54" t="s">
        <v>428</v>
      </c>
      <c r="C54" t="s">
        <v>37</v>
      </c>
      <c r="D54" t="s">
        <v>155</v>
      </c>
    </row>
    <row r="55" spans="2:4" x14ac:dyDescent="0.25">
      <c r="B55" t="s">
        <v>429</v>
      </c>
      <c r="C55" t="s">
        <v>37</v>
      </c>
      <c r="D55" t="s">
        <v>156</v>
      </c>
    </row>
    <row r="56" spans="2:4" x14ac:dyDescent="0.25">
      <c r="B56" t="s">
        <v>430</v>
      </c>
      <c r="C56" t="s">
        <v>37</v>
      </c>
      <c r="D56" t="s">
        <v>157</v>
      </c>
    </row>
    <row r="57" spans="2:4" x14ac:dyDescent="0.25">
      <c r="B57" t="s">
        <v>431</v>
      </c>
      <c r="C57" t="s">
        <v>37</v>
      </c>
      <c r="D57" t="s">
        <v>158</v>
      </c>
    </row>
    <row r="58" spans="2:4" x14ac:dyDescent="0.25">
      <c r="B58" t="s">
        <v>432</v>
      </c>
      <c r="C58" t="s">
        <v>37</v>
      </c>
      <c r="D58" t="s">
        <v>159</v>
      </c>
    </row>
    <row r="59" spans="2:4" x14ac:dyDescent="0.25">
      <c r="B59" t="s">
        <v>433</v>
      </c>
      <c r="C59" t="s">
        <v>37</v>
      </c>
      <c r="D59" t="s">
        <v>160</v>
      </c>
    </row>
    <row r="60" spans="2:4" x14ac:dyDescent="0.25">
      <c r="B60" t="s">
        <v>434</v>
      </c>
      <c r="C60" t="s">
        <v>37</v>
      </c>
      <c r="D60" t="s">
        <v>161</v>
      </c>
    </row>
    <row r="61" spans="2:4" x14ac:dyDescent="0.25">
      <c r="B61" t="s">
        <v>435</v>
      </c>
      <c r="C61" t="s">
        <v>37</v>
      </c>
      <c r="D61" t="s">
        <v>162</v>
      </c>
    </row>
    <row r="62" spans="2:4" x14ac:dyDescent="0.25">
      <c r="B62" t="s">
        <v>436</v>
      </c>
      <c r="C62" t="s">
        <v>37</v>
      </c>
      <c r="D62" t="s">
        <v>163</v>
      </c>
    </row>
    <row r="63" spans="2:4" x14ac:dyDescent="0.25">
      <c r="B63" t="s">
        <v>437</v>
      </c>
      <c r="C63" t="s">
        <v>37</v>
      </c>
      <c r="D63" t="s">
        <v>164</v>
      </c>
    </row>
    <row r="64" spans="2:4" x14ac:dyDescent="0.25">
      <c r="B64" t="s">
        <v>438</v>
      </c>
      <c r="C64" t="s">
        <v>37</v>
      </c>
      <c r="D64" t="s">
        <v>165</v>
      </c>
    </row>
    <row r="65" spans="2:4" x14ac:dyDescent="0.25">
      <c r="B65" t="s">
        <v>439</v>
      </c>
      <c r="C65" t="s">
        <v>37</v>
      </c>
      <c r="D65" t="s">
        <v>166</v>
      </c>
    </row>
    <row r="66" spans="2:4" x14ac:dyDescent="0.25">
      <c r="B66" t="s">
        <v>440</v>
      </c>
      <c r="C66" t="s">
        <v>37</v>
      </c>
      <c r="D66" t="s">
        <v>167</v>
      </c>
    </row>
    <row r="67" spans="2:4" x14ac:dyDescent="0.25">
      <c r="B67" t="s">
        <v>441</v>
      </c>
      <c r="C67" t="s">
        <v>37</v>
      </c>
      <c r="D67" t="s">
        <v>168</v>
      </c>
    </row>
    <row r="68" spans="2:4" x14ac:dyDescent="0.25">
      <c r="B68" t="s">
        <v>442</v>
      </c>
      <c r="C68" t="s">
        <v>37</v>
      </c>
      <c r="D68" t="s">
        <v>169</v>
      </c>
    </row>
    <row r="69" spans="2:4" x14ac:dyDescent="0.25">
      <c r="B69" t="s">
        <v>443</v>
      </c>
      <c r="C69" t="s">
        <v>37</v>
      </c>
      <c r="D69" t="s">
        <v>170</v>
      </c>
    </row>
    <row r="70" spans="2:4" x14ac:dyDescent="0.25">
      <c r="B70" t="s">
        <v>444</v>
      </c>
      <c r="C70" t="s">
        <v>37</v>
      </c>
      <c r="D70" t="s">
        <v>171</v>
      </c>
    </row>
    <row r="71" spans="2:4" x14ac:dyDescent="0.25">
      <c r="B71" t="s">
        <v>445</v>
      </c>
      <c r="C71" t="s">
        <v>37</v>
      </c>
      <c r="D71" t="s">
        <v>172</v>
      </c>
    </row>
    <row r="72" spans="2:4" x14ac:dyDescent="0.25">
      <c r="B72" t="s">
        <v>446</v>
      </c>
      <c r="C72" t="s">
        <v>37</v>
      </c>
      <c r="D72" t="s">
        <v>173</v>
      </c>
    </row>
    <row r="73" spans="2:4" x14ac:dyDescent="0.25">
      <c r="B73" t="s">
        <v>447</v>
      </c>
      <c r="C73" t="s">
        <v>37</v>
      </c>
      <c r="D73" t="s">
        <v>174</v>
      </c>
    </row>
    <row r="74" spans="2:4" x14ac:dyDescent="0.25">
      <c r="B74" t="s">
        <v>448</v>
      </c>
      <c r="C74" t="s">
        <v>38</v>
      </c>
      <c r="D74" t="s">
        <v>175</v>
      </c>
    </row>
    <row r="75" spans="2:4" x14ac:dyDescent="0.25">
      <c r="B75" t="s">
        <v>449</v>
      </c>
      <c r="C75" t="s">
        <v>38</v>
      </c>
      <c r="D75" t="s">
        <v>176</v>
      </c>
    </row>
    <row r="76" spans="2:4" x14ac:dyDescent="0.25">
      <c r="B76" t="s">
        <v>450</v>
      </c>
      <c r="C76" t="s">
        <v>38</v>
      </c>
      <c r="D76" t="s">
        <v>177</v>
      </c>
    </row>
    <row r="77" spans="2:4" x14ac:dyDescent="0.25">
      <c r="B77" t="s">
        <v>451</v>
      </c>
      <c r="C77" t="s">
        <v>38</v>
      </c>
      <c r="D77" t="s">
        <v>178</v>
      </c>
    </row>
    <row r="78" spans="2:4" x14ac:dyDescent="0.25">
      <c r="B78" t="s">
        <v>452</v>
      </c>
      <c r="C78" t="s">
        <v>38</v>
      </c>
      <c r="D78" t="s">
        <v>179</v>
      </c>
    </row>
    <row r="79" spans="2:4" x14ac:dyDescent="0.25">
      <c r="B79" t="s">
        <v>453</v>
      </c>
      <c r="C79" t="s">
        <v>38</v>
      </c>
      <c r="D79" t="s">
        <v>180</v>
      </c>
    </row>
    <row r="80" spans="2:4" x14ac:dyDescent="0.25">
      <c r="B80" t="s">
        <v>454</v>
      </c>
      <c r="C80" t="s">
        <v>38</v>
      </c>
      <c r="D80" t="s">
        <v>181</v>
      </c>
    </row>
    <row r="81" spans="2:4" x14ac:dyDescent="0.25">
      <c r="B81" t="s">
        <v>455</v>
      </c>
      <c r="C81" t="s">
        <v>38</v>
      </c>
      <c r="D81" t="s">
        <v>182</v>
      </c>
    </row>
    <row r="82" spans="2:4" x14ac:dyDescent="0.25">
      <c r="B82" t="s">
        <v>456</v>
      </c>
      <c r="C82" t="s">
        <v>38</v>
      </c>
      <c r="D82" t="s">
        <v>183</v>
      </c>
    </row>
    <row r="83" spans="2:4" x14ac:dyDescent="0.25">
      <c r="B83" t="s">
        <v>457</v>
      </c>
      <c r="C83" t="s">
        <v>38</v>
      </c>
      <c r="D83" t="s">
        <v>184</v>
      </c>
    </row>
    <row r="84" spans="2:4" x14ac:dyDescent="0.25">
      <c r="B84" t="s">
        <v>458</v>
      </c>
      <c r="C84" t="s">
        <v>38</v>
      </c>
      <c r="D84" t="s">
        <v>185</v>
      </c>
    </row>
    <row r="85" spans="2:4" x14ac:dyDescent="0.25">
      <c r="B85" t="s">
        <v>459</v>
      </c>
      <c r="C85" t="s">
        <v>38</v>
      </c>
      <c r="D85" t="s">
        <v>186</v>
      </c>
    </row>
    <row r="86" spans="2:4" x14ac:dyDescent="0.25">
      <c r="B86" t="s">
        <v>460</v>
      </c>
      <c r="C86" t="s">
        <v>38</v>
      </c>
      <c r="D86" t="s">
        <v>187</v>
      </c>
    </row>
    <row r="87" spans="2:4" x14ac:dyDescent="0.25">
      <c r="B87" t="s">
        <v>461</v>
      </c>
      <c r="C87" t="s">
        <v>38</v>
      </c>
      <c r="D87" t="s">
        <v>188</v>
      </c>
    </row>
    <row r="88" spans="2:4" x14ac:dyDescent="0.25">
      <c r="B88" t="s">
        <v>462</v>
      </c>
      <c r="C88" t="s">
        <v>38</v>
      </c>
      <c r="D88" t="s">
        <v>189</v>
      </c>
    </row>
    <row r="89" spans="2:4" x14ac:dyDescent="0.25">
      <c r="B89" t="s">
        <v>463</v>
      </c>
      <c r="C89" t="s">
        <v>38</v>
      </c>
      <c r="D89" t="s">
        <v>190</v>
      </c>
    </row>
    <row r="90" spans="2:4" x14ac:dyDescent="0.25">
      <c r="B90" t="s">
        <v>464</v>
      </c>
      <c r="C90" t="s">
        <v>38</v>
      </c>
      <c r="D90" t="s">
        <v>191</v>
      </c>
    </row>
    <row r="91" spans="2:4" x14ac:dyDescent="0.25">
      <c r="B91" t="s">
        <v>465</v>
      </c>
      <c r="C91" t="s">
        <v>38</v>
      </c>
      <c r="D91" t="s">
        <v>192</v>
      </c>
    </row>
    <row r="92" spans="2:4" x14ac:dyDescent="0.25">
      <c r="B92" t="s">
        <v>466</v>
      </c>
      <c r="C92" t="s">
        <v>38</v>
      </c>
      <c r="D92" t="s">
        <v>193</v>
      </c>
    </row>
    <row r="93" spans="2:4" x14ac:dyDescent="0.25">
      <c r="B93" t="s">
        <v>467</v>
      </c>
      <c r="C93" t="s">
        <v>38</v>
      </c>
      <c r="D93" t="s">
        <v>194</v>
      </c>
    </row>
    <row r="94" spans="2:4" x14ac:dyDescent="0.25">
      <c r="B94" t="s">
        <v>468</v>
      </c>
      <c r="C94" t="s">
        <v>0</v>
      </c>
      <c r="D94" t="s">
        <v>195</v>
      </c>
    </row>
    <row r="95" spans="2:4" x14ac:dyDescent="0.25">
      <c r="B95" t="s">
        <v>469</v>
      </c>
      <c r="C95" t="s">
        <v>0</v>
      </c>
      <c r="D95" t="s">
        <v>196</v>
      </c>
    </row>
    <row r="96" spans="2:4" x14ac:dyDescent="0.25">
      <c r="B96" t="s">
        <v>470</v>
      </c>
      <c r="C96" t="s">
        <v>0</v>
      </c>
      <c r="D96" t="s">
        <v>197</v>
      </c>
    </row>
    <row r="97" spans="2:4" x14ac:dyDescent="0.25">
      <c r="B97" t="s">
        <v>471</v>
      </c>
      <c r="C97" t="s">
        <v>0</v>
      </c>
      <c r="D97" t="s">
        <v>198</v>
      </c>
    </row>
    <row r="98" spans="2:4" x14ac:dyDescent="0.25">
      <c r="B98" t="s">
        <v>472</v>
      </c>
      <c r="C98" t="s">
        <v>0</v>
      </c>
      <c r="D98" t="s">
        <v>199</v>
      </c>
    </row>
    <row r="99" spans="2:4" x14ac:dyDescent="0.25">
      <c r="B99" t="s">
        <v>473</v>
      </c>
      <c r="C99" t="s">
        <v>0</v>
      </c>
      <c r="D99" t="s">
        <v>200</v>
      </c>
    </row>
    <row r="100" spans="2:4" x14ac:dyDescent="0.25">
      <c r="B100" t="s">
        <v>474</v>
      </c>
      <c r="C100" t="s">
        <v>0</v>
      </c>
      <c r="D100" t="s">
        <v>201</v>
      </c>
    </row>
    <row r="101" spans="2:4" x14ac:dyDescent="0.25">
      <c r="B101" t="s">
        <v>475</v>
      </c>
      <c r="C101" t="s">
        <v>0</v>
      </c>
      <c r="D101" t="s">
        <v>202</v>
      </c>
    </row>
    <row r="102" spans="2:4" x14ac:dyDescent="0.25">
      <c r="B102" t="s">
        <v>476</v>
      </c>
      <c r="C102" t="s">
        <v>0</v>
      </c>
      <c r="D102" t="s">
        <v>203</v>
      </c>
    </row>
    <row r="103" spans="2:4" x14ac:dyDescent="0.25">
      <c r="B103" t="s">
        <v>477</v>
      </c>
      <c r="C103" t="s">
        <v>0</v>
      </c>
      <c r="D103" t="s">
        <v>204</v>
      </c>
    </row>
    <row r="104" spans="2:4" x14ac:dyDescent="0.25">
      <c r="B104" t="s">
        <v>478</v>
      </c>
      <c r="C104" t="s">
        <v>0</v>
      </c>
      <c r="D104" t="s">
        <v>205</v>
      </c>
    </row>
    <row r="105" spans="2:4" x14ac:dyDescent="0.25">
      <c r="B105" t="s">
        <v>479</v>
      </c>
      <c r="C105" t="s">
        <v>0</v>
      </c>
      <c r="D105" t="s">
        <v>206</v>
      </c>
    </row>
    <row r="106" spans="2:4" x14ac:dyDescent="0.25">
      <c r="B106" t="s">
        <v>480</v>
      </c>
      <c r="C106" t="s">
        <v>0</v>
      </c>
      <c r="D106" t="s">
        <v>207</v>
      </c>
    </row>
    <row r="107" spans="2:4" x14ac:dyDescent="0.25">
      <c r="B107" t="s">
        <v>481</v>
      </c>
      <c r="C107" t="s">
        <v>0</v>
      </c>
      <c r="D107" t="s">
        <v>208</v>
      </c>
    </row>
    <row r="108" spans="2:4" x14ac:dyDescent="0.25">
      <c r="B108" t="s">
        <v>482</v>
      </c>
      <c r="C108" t="s">
        <v>0</v>
      </c>
      <c r="D108" t="s">
        <v>209</v>
      </c>
    </row>
    <row r="109" spans="2:4" x14ac:dyDescent="0.25">
      <c r="B109" t="s">
        <v>483</v>
      </c>
      <c r="C109" t="s">
        <v>0</v>
      </c>
      <c r="D109" t="s">
        <v>210</v>
      </c>
    </row>
    <row r="110" spans="2:4" x14ac:dyDescent="0.25">
      <c r="B110" t="s">
        <v>484</v>
      </c>
      <c r="C110" t="s">
        <v>0</v>
      </c>
      <c r="D110" t="s">
        <v>211</v>
      </c>
    </row>
    <row r="111" spans="2:4" x14ac:dyDescent="0.25">
      <c r="B111" t="s">
        <v>485</v>
      </c>
      <c r="C111" t="s">
        <v>212</v>
      </c>
      <c r="D111" t="s">
        <v>213</v>
      </c>
    </row>
    <row r="112" spans="2:4" x14ac:dyDescent="0.25">
      <c r="B112" t="s">
        <v>486</v>
      </c>
      <c r="C112" t="s">
        <v>212</v>
      </c>
      <c r="D112" t="s">
        <v>214</v>
      </c>
    </row>
    <row r="113" spans="2:4" x14ac:dyDescent="0.25">
      <c r="B113" t="s">
        <v>487</v>
      </c>
      <c r="C113" t="s">
        <v>212</v>
      </c>
      <c r="D113" t="s">
        <v>215</v>
      </c>
    </row>
    <row r="114" spans="2:4" x14ac:dyDescent="0.25">
      <c r="B114" t="s">
        <v>488</v>
      </c>
      <c r="C114" t="s">
        <v>212</v>
      </c>
      <c r="D114" t="s">
        <v>216</v>
      </c>
    </row>
    <row r="115" spans="2:4" x14ac:dyDescent="0.25">
      <c r="B115" t="s">
        <v>489</v>
      </c>
      <c r="C115" t="s">
        <v>212</v>
      </c>
      <c r="D115" t="s">
        <v>217</v>
      </c>
    </row>
    <row r="116" spans="2:4" x14ac:dyDescent="0.25">
      <c r="B116" t="s">
        <v>490</v>
      </c>
      <c r="C116" t="s">
        <v>212</v>
      </c>
      <c r="D116" t="s">
        <v>218</v>
      </c>
    </row>
    <row r="117" spans="2:4" x14ac:dyDescent="0.25">
      <c r="B117" t="s">
        <v>491</v>
      </c>
      <c r="C117" t="s">
        <v>212</v>
      </c>
      <c r="D117" t="s">
        <v>219</v>
      </c>
    </row>
    <row r="118" spans="2:4" x14ac:dyDescent="0.25">
      <c r="B118" t="s">
        <v>492</v>
      </c>
      <c r="C118" t="s">
        <v>212</v>
      </c>
      <c r="D118" s="7" t="s">
        <v>220</v>
      </c>
    </row>
    <row r="119" spans="2:4" x14ac:dyDescent="0.25">
      <c r="B119" t="s">
        <v>493</v>
      </c>
      <c r="C119" t="s">
        <v>212</v>
      </c>
      <c r="D119" t="s">
        <v>221</v>
      </c>
    </row>
    <row r="120" spans="2:4" x14ac:dyDescent="0.25">
      <c r="B120" t="s">
        <v>494</v>
      </c>
      <c r="C120" t="s">
        <v>212</v>
      </c>
      <c r="D120" t="s">
        <v>222</v>
      </c>
    </row>
    <row r="121" spans="2:4" x14ac:dyDescent="0.25">
      <c r="B121" t="s">
        <v>495</v>
      </c>
      <c r="C121" t="s">
        <v>212</v>
      </c>
      <c r="D121" s="7" t="s">
        <v>223</v>
      </c>
    </row>
    <row r="122" spans="2:4" x14ac:dyDescent="0.25">
      <c r="B122" t="s">
        <v>496</v>
      </c>
      <c r="C122" t="s">
        <v>212</v>
      </c>
      <c r="D122" t="s">
        <v>224</v>
      </c>
    </row>
    <row r="123" spans="2:4" x14ac:dyDescent="0.25">
      <c r="B123" t="s">
        <v>497</v>
      </c>
      <c r="C123" t="s">
        <v>212</v>
      </c>
      <c r="D123" t="s">
        <v>225</v>
      </c>
    </row>
    <row r="124" spans="2:4" ht="14.25" customHeight="1" x14ac:dyDescent="0.25">
      <c r="B124" t="s">
        <v>498</v>
      </c>
      <c r="C124" t="s">
        <v>212</v>
      </c>
      <c r="D124" t="s">
        <v>226</v>
      </c>
    </row>
    <row r="125" spans="2:4" x14ac:dyDescent="0.25">
      <c r="B125" t="s">
        <v>499</v>
      </c>
      <c r="C125" t="s">
        <v>212</v>
      </c>
      <c r="D125" t="s">
        <v>227</v>
      </c>
    </row>
    <row r="126" spans="2:4" x14ac:dyDescent="0.25">
      <c r="B126" t="s">
        <v>500</v>
      </c>
      <c r="C126" t="s">
        <v>212</v>
      </c>
      <c r="D126" t="s">
        <v>228</v>
      </c>
    </row>
    <row r="127" spans="2:4" x14ac:dyDescent="0.25">
      <c r="B127" t="s">
        <v>501</v>
      </c>
      <c r="C127" t="s">
        <v>212</v>
      </c>
      <c r="D127" t="s">
        <v>229</v>
      </c>
    </row>
    <row r="128" spans="2:4" x14ac:dyDescent="0.25">
      <c r="B128" t="s">
        <v>502</v>
      </c>
      <c r="C128" t="s">
        <v>212</v>
      </c>
      <c r="D128" s="7" t="s">
        <v>230</v>
      </c>
    </row>
    <row r="129" spans="2:4" x14ac:dyDescent="0.25">
      <c r="B129" t="s">
        <v>503</v>
      </c>
      <c r="C129" t="s">
        <v>212</v>
      </c>
      <c r="D129" t="s">
        <v>231</v>
      </c>
    </row>
    <row r="130" spans="2:4" x14ac:dyDescent="0.25">
      <c r="B130" t="s">
        <v>504</v>
      </c>
      <c r="C130" t="s">
        <v>212</v>
      </c>
      <c r="D130" t="s">
        <v>232</v>
      </c>
    </row>
    <row r="131" spans="2:4" x14ac:dyDescent="0.25">
      <c r="B131" t="s">
        <v>505</v>
      </c>
      <c r="C131" t="s">
        <v>212</v>
      </c>
      <c r="D131" t="s">
        <v>233</v>
      </c>
    </row>
    <row r="132" spans="2:4" x14ac:dyDescent="0.25">
      <c r="B132" t="s">
        <v>506</v>
      </c>
      <c r="C132" t="s">
        <v>212</v>
      </c>
      <c r="D132" t="s">
        <v>234</v>
      </c>
    </row>
    <row r="133" spans="2:4" x14ac:dyDescent="0.25">
      <c r="B133" t="s">
        <v>507</v>
      </c>
      <c r="C133" t="s">
        <v>212</v>
      </c>
      <c r="D133" t="s">
        <v>235</v>
      </c>
    </row>
    <row r="134" spans="2:4" x14ac:dyDescent="0.25">
      <c r="B134" t="s">
        <v>508</v>
      </c>
      <c r="C134" t="s">
        <v>212</v>
      </c>
      <c r="D134" s="7" t="s">
        <v>238</v>
      </c>
    </row>
    <row r="135" spans="2:4" x14ac:dyDescent="0.25">
      <c r="B135" t="s">
        <v>509</v>
      </c>
      <c r="C135" t="s">
        <v>212</v>
      </c>
      <c r="D135" t="s">
        <v>236</v>
      </c>
    </row>
    <row r="136" spans="2:4" x14ac:dyDescent="0.25">
      <c r="B136" t="s">
        <v>510</v>
      </c>
      <c r="C136" t="s">
        <v>212</v>
      </c>
      <c r="D136" t="s">
        <v>237</v>
      </c>
    </row>
    <row r="137" spans="2:4" x14ac:dyDescent="0.25">
      <c r="B137" t="s">
        <v>511</v>
      </c>
      <c r="C137" t="s">
        <v>212</v>
      </c>
      <c r="D137" t="s">
        <v>239</v>
      </c>
    </row>
    <row r="138" spans="2:4" x14ac:dyDescent="0.25">
      <c r="B138" t="s">
        <v>512</v>
      </c>
      <c r="C138" t="s">
        <v>212</v>
      </c>
      <c r="D138" t="s">
        <v>240</v>
      </c>
    </row>
    <row r="139" spans="2:4" x14ac:dyDescent="0.25">
      <c r="B139" t="s">
        <v>513</v>
      </c>
      <c r="C139" t="s">
        <v>212</v>
      </c>
      <c r="D139" t="s">
        <v>241</v>
      </c>
    </row>
    <row r="140" spans="2:4" x14ac:dyDescent="0.25">
      <c r="B140" t="s">
        <v>514</v>
      </c>
      <c r="C140" t="s">
        <v>212</v>
      </c>
      <c r="D140" t="s">
        <v>242</v>
      </c>
    </row>
    <row r="141" spans="2:4" x14ac:dyDescent="0.25">
      <c r="B141" t="s">
        <v>515</v>
      </c>
      <c r="C141" t="s">
        <v>212</v>
      </c>
      <c r="D141" t="s">
        <v>243</v>
      </c>
    </row>
    <row r="142" spans="2:4" x14ac:dyDescent="0.25">
      <c r="B142" t="s">
        <v>516</v>
      </c>
      <c r="C142" t="s">
        <v>212</v>
      </c>
      <c r="D142" t="s">
        <v>244</v>
      </c>
    </row>
    <row r="143" spans="2:4" x14ac:dyDescent="0.25">
      <c r="B143" t="s">
        <v>517</v>
      </c>
      <c r="C143" t="s">
        <v>39</v>
      </c>
      <c r="D143" t="s">
        <v>245</v>
      </c>
    </row>
    <row r="144" spans="2:4" x14ac:dyDescent="0.25">
      <c r="B144" t="s">
        <v>518</v>
      </c>
      <c r="C144" t="s">
        <v>39</v>
      </c>
      <c r="D144" t="s">
        <v>246</v>
      </c>
    </row>
    <row r="145" spans="2:4" x14ac:dyDescent="0.25">
      <c r="B145" t="s">
        <v>519</v>
      </c>
      <c r="C145" t="s">
        <v>39</v>
      </c>
      <c r="D145" t="s">
        <v>247</v>
      </c>
    </row>
    <row r="146" spans="2:4" x14ac:dyDescent="0.25">
      <c r="B146" t="s">
        <v>520</v>
      </c>
      <c r="C146" t="s">
        <v>39</v>
      </c>
      <c r="D146" t="s">
        <v>248</v>
      </c>
    </row>
    <row r="147" spans="2:4" x14ac:dyDescent="0.25">
      <c r="B147" t="s">
        <v>521</v>
      </c>
      <c r="C147" t="s">
        <v>39</v>
      </c>
      <c r="D147" t="s">
        <v>249</v>
      </c>
    </row>
    <row r="148" spans="2:4" x14ac:dyDescent="0.25">
      <c r="B148" t="s">
        <v>522</v>
      </c>
      <c r="C148" t="s">
        <v>39</v>
      </c>
      <c r="D148" t="s">
        <v>250</v>
      </c>
    </row>
    <row r="149" spans="2:4" x14ac:dyDescent="0.25">
      <c r="B149" t="s">
        <v>523</v>
      </c>
      <c r="C149" t="s">
        <v>39</v>
      </c>
      <c r="D149" t="s">
        <v>251</v>
      </c>
    </row>
    <row r="150" spans="2:4" x14ac:dyDescent="0.25">
      <c r="B150" t="s">
        <v>524</v>
      </c>
      <c r="C150" t="s">
        <v>39</v>
      </c>
      <c r="D150" t="s">
        <v>252</v>
      </c>
    </row>
    <row r="151" spans="2:4" x14ac:dyDescent="0.25">
      <c r="B151" t="s">
        <v>525</v>
      </c>
      <c r="C151" t="s">
        <v>39</v>
      </c>
      <c r="D151" t="s">
        <v>253</v>
      </c>
    </row>
    <row r="152" spans="2:4" x14ac:dyDescent="0.25">
      <c r="B152" t="s">
        <v>526</v>
      </c>
      <c r="C152" t="s">
        <v>39</v>
      </c>
      <c r="D152" t="s">
        <v>254</v>
      </c>
    </row>
    <row r="153" spans="2:4" x14ac:dyDescent="0.25">
      <c r="B153" t="s">
        <v>527</v>
      </c>
      <c r="C153" t="s">
        <v>39</v>
      </c>
      <c r="D153" t="s">
        <v>255</v>
      </c>
    </row>
    <row r="154" spans="2:4" x14ac:dyDescent="0.25">
      <c r="B154" t="s">
        <v>528</v>
      </c>
      <c r="C154" t="s">
        <v>39</v>
      </c>
      <c r="D154" t="s">
        <v>256</v>
      </c>
    </row>
    <row r="155" spans="2:4" x14ac:dyDescent="0.25">
      <c r="B155" t="s">
        <v>529</v>
      </c>
      <c r="C155" t="s">
        <v>39</v>
      </c>
      <c r="D155" t="s">
        <v>257</v>
      </c>
    </row>
    <row r="156" spans="2:4" x14ac:dyDescent="0.25">
      <c r="B156" t="s">
        <v>530</v>
      </c>
      <c r="C156" t="s">
        <v>39</v>
      </c>
      <c r="D156" t="s">
        <v>258</v>
      </c>
    </row>
    <row r="157" spans="2:4" x14ac:dyDescent="0.25">
      <c r="B157" t="s">
        <v>531</v>
      </c>
      <c r="C157" t="s">
        <v>39</v>
      </c>
      <c r="D157" t="s">
        <v>259</v>
      </c>
    </row>
    <row r="158" spans="2:4" x14ac:dyDescent="0.25">
      <c r="B158" t="s">
        <v>532</v>
      </c>
      <c r="C158" t="s">
        <v>39</v>
      </c>
      <c r="D158" t="s">
        <v>260</v>
      </c>
    </row>
    <row r="159" spans="2:4" x14ac:dyDescent="0.25">
      <c r="B159" t="s">
        <v>533</v>
      </c>
      <c r="C159" t="s">
        <v>39</v>
      </c>
      <c r="D159" t="s">
        <v>261</v>
      </c>
    </row>
    <row r="160" spans="2:4" x14ac:dyDescent="0.25">
      <c r="B160" t="s">
        <v>534</v>
      </c>
      <c r="C160" t="s">
        <v>39</v>
      </c>
      <c r="D160" t="s">
        <v>262</v>
      </c>
    </row>
    <row r="161" spans="2:4" x14ac:dyDescent="0.25">
      <c r="B161" t="s">
        <v>535</v>
      </c>
      <c r="C161" t="s">
        <v>39</v>
      </c>
      <c r="D161" t="s">
        <v>263</v>
      </c>
    </row>
    <row r="162" spans="2:4" x14ac:dyDescent="0.25">
      <c r="B162" t="s">
        <v>536</v>
      </c>
      <c r="C162" t="s">
        <v>39</v>
      </c>
      <c r="D162" t="s">
        <v>264</v>
      </c>
    </row>
    <row r="163" spans="2:4" x14ac:dyDescent="0.25">
      <c r="B163" t="s">
        <v>537</v>
      </c>
      <c r="C163" t="s">
        <v>39</v>
      </c>
      <c r="D163" t="s">
        <v>265</v>
      </c>
    </row>
    <row r="164" spans="2:4" x14ac:dyDescent="0.25">
      <c r="B164" t="s">
        <v>538</v>
      </c>
      <c r="C164" t="s">
        <v>40</v>
      </c>
      <c r="D164" t="s">
        <v>266</v>
      </c>
    </row>
    <row r="165" spans="2:4" x14ac:dyDescent="0.25">
      <c r="B165" t="s">
        <v>539</v>
      </c>
      <c r="C165" t="s">
        <v>40</v>
      </c>
      <c r="D165" t="s">
        <v>267</v>
      </c>
    </row>
    <row r="166" spans="2:4" x14ac:dyDescent="0.25">
      <c r="B166" t="s">
        <v>540</v>
      </c>
      <c r="C166" t="s">
        <v>40</v>
      </c>
      <c r="D166" t="s">
        <v>268</v>
      </c>
    </row>
    <row r="167" spans="2:4" x14ac:dyDescent="0.25">
      <c r="B167" t="s">
        <v>541</v>
      </c>
      <c r="C167" t="s">
        <v>40</v>
      </c>
      <c r="D167" t="s">
        <v>269</v>
      </c>
    </row>
    <row r="168" spans="2:4" x14ac:dyDescent="0.25">
      <c r="B168" t="s">
        <v>542</v>
      </c>
      <c r="C168" t="s">
        <v>40</v>
      </c>
      <c r="D168" t="s">
        <v>270</v>
      </c>
    </row>
    <row r="169" spans="2:4" x14ac:dyDescent="0.25">
      <c r="B169" t="s">
        <v>543</v>
      </c>
      <c r="C169" t="s">
        <v>40</v>
      </c>
      <c r="D169" t="s">
        <v>271</v>
      </c>
    </row>
    <row r="170" spans="2:4" x14ac:dyDescent="0.25">
      <c r="B170" t="s">
        <v>544</v>
      </c>
      <c r="C170" t="s">
        <v>40</v>
      </c>
      <c r="D170" t="s">
        <v>272</v>
      </c>
    </row>
    <row r="171" spans="2:4" x14ac:dyDescent="0.25">
      <c r="B171" t="s">
        <v>545</v>
      </c>
      <c r="C171" t="s">
        <v>40</v>
      </c>
      <c r="D171" t="s">
        <v>273</v>
      </c>
    </row>
    <row r="172" spans="2:4" x14ac:dyDescent="0.25">
      <c r="B172" t="s">
        <v>546</v>
      </c>
      <c r="C172" t="s">
        <v>40</v>
      </c>
      <c r="D172" t="s">
        <v>274</v>
      </c>
    </row>
    <row r="173" spans="2:4" x14ac:dyDescent="0.25">
      <c r="B173" t="s">
        <v>547</v>
      </c>
      <c r="C173" t="s">
        <v>40</v>
      </c>
      <c r="D173" t="s">
        <v>275</v>
      </c>
    </row>
    <row r="174" spans="2:4" x14ac:dyDescent="0.25">
      <c r="B174" t="s">
        <v>548</v>
      </c>
      <c r="C174" t="s">
        <v>40</v>
      </c>
      <c r="D174" t="s">
        <v>276</v>
      </c>
    </row>
    <row r="175" spans="2:4" x14ac:dyDescent="0.25">
      <c r="B175" t="s">
        <v>549</v>
      </c>
      <c r="C175" t="s">
        <v>40</v>
      </c>
      <c r="D175" s="7" t="s">
        <v>277</v>
      </c>
    </row>
    <row r="176" spans="2:4" x14ac:dyDescent="0.25">
      <c r="B176" t="s">
        <v>550</v>
      </c>
      <c r="C176" t="s">
        <v>40</v>
      </c>
      <c r="D176" t="s">
        <v>278</v>
      </c>
    </row>
    <row r="177" spans="2:4" x14ac:dyDescent="0.25">
      <c r="B177" t="s">
        <v>551</v>
      </c>
      <c r="C177" t="s">
        <v>40</v>
      </c>
      <c r="D177" t="s">
        <v>279</v>
      </c>
    </row>
    <row r="178" spans="2:4" x14ac:dyDescent="0.25">
      <c r="B178" t="s">
        <v>552</v>
      </c>
      <c r="C178" t="s">
        <v>40</v>
      </c>
      <c r="D178" t="s">
        <v>280</v>
      </c>
    </row>
    <row r="179" spans="2:4" x14ac:dyDescent="0.25">
      <c r="B179" t="s">
        <v>553</v>
      </c>
      <c r="C179" t="s">
        <v>40</v>
      </c>
      <c r="D179" t="s">
        <v>281</v>
      </c>
    </row>
    <row r="180" spans="2:4" x14ac:dyDescent="0.25">
      <c r="B180" t="s">
        <v>554</v>
      </c>
      <c r="C180" t="s">
        <v>40</v>
      </c>
      <c r="D180" t="s">
        <v>282</v>
      </c>
    </row>
    <row r="181" spans="2:4" x14ac:dyDescent="0.25">
      <c r="B181" t="s">
        <v>555</v>
      </c>
      <c r="C181" t="s">
        <v>40</v>
      </c>
      <c r="D181" t="s">
        <v>283</v>
      </c>
    </row>
    <row r="182" spans="2:4" x14ac:dyDescent="0.25">
      <c r="B182" t="s">
        <v>556</v>
      </c>
      <c r="C182" t="s">
        <v>40</v>
      </c>
      <c r="D182" t="s">
        <v>189</v>
      </c>
    </row>
    <row r="183" spans="2:4" x14ac:dyDescent="0.25">
      <c r="B183" t="s">
        <v>557</v>
      </c>
      <c r="C183" t="s">
        <v>285</v>
      </c>
      <c r="D183" t="s">
        <v>284</v>
      </c>
    </row>
    <row r="184" spans="2:4" x14ac:dyDescent="0.25">
      <c r="B184" t="s">
        <v>558</v>
      </c>
      <c r="C184" t="s">
        <v>285</v>
      </c>
      <c r="D184" t="s">
        <v>286</v>
      </c>
    </row>
    <row r="185" spans="2:4" x14ac:dyDescent="0.25">
      <c r="B185" t="s">
        <v>559</v>
      </c>
      <c r="C185" t="s">
        <v>285</v>
      </c>
      <c r="D185" t="s">
        <v>287</v>
      </c>
    </row>
    <row r="186" spans="2:4" x14ac:dyDescent="0.25">
      <c r="B186" t="s">
        <v>560</v>
      </c>
      <c r="C186" t="s">
        <v>285</v>
      </c>
      <c r="D186" t="s">
        <v>288</v>
      </c>
    </row>
    <row r="187" spans="2:4" x14ac:dyDescent="0.25">
      <c r="B187" t="s">
        <v>561</v>
      </c>
      <c r="C187" t="s">
        <v>285</v>
      </c>
      <c r="D187" t="s">
        <v>289</v>
      </c>
    </row>
    <row r="188" spans="2:4" x14ac:dyDescent="0.25">
      <c r="B188" t="s">
        <v>562</v>
      </c>
      <c r="C188" t="s">
        <v>285</v>
      </c>
      <c r="D188" t="s">
        <v>290</v>
      </c>
    </row>
    <row r="189" spans="2:4" x14ac:dyDescent="0.25">
      <c r="B189" t="s">
        <v>563</v>
      </c>
      <c r="C189" t="s">
        <v>285</v>
      </c>
      <c r="D189" t="s">
        <v>291</v>
      </c>
    </row>
    <row r="190" spans="2:4" x14ac:dyDescent="0.25">
      <c r="B190" t="s">
        <v>564</v>
      </c>
      <c r="C190" t="s">
        <v>285</v>
      </c>
      <c r="D190" t="s">
        <v>292</v>
      </c>
    </row>
    <row r="191" spans="2:4" x14ac:dyDescent="0.25">
      <c r="B191" t="s">
        <v>565</v>
      </c>
      <c r="C191" t="s">
        <v>285</v>
      </c>
      <c r="D191" t="s">
        <v>293</v>
      </c>
    </row>
    <row r="192" spans="2:4" x14ac:dyDescent="0.25">
      <c r="B192" t="s">
        <v>566</v>
      </c>
      <c r="C192" t="s">
        <v>285</v>
      </c>
      <c r="D192" t="s">
        <v>294</v>
      </c>
    </row>
    <row r="193" spans="2:4" x14ac:dyDescent="0.25">
      <c r="B193" t="s">
        <v>567</v>
      </c>
      <c r="C193" t="s">
        <v>285</v>
      </c>
      <c r="D193" t="s">
        <v>295</v>
      </c>
    </row>
    <row r="194" spans="2:4" x14ac:dyDescent="0.25">
      <c r="B194" t="s">
        <v>568</v>
      </c>
      <c r="C194" t="s">
        <v>285</v>
      </c>
      <c r="D194" t="s">
        <v>296</v>
      </c>
    </row>
    <row r="195" spans="2:4" x14ac:dyDescent="0.25">
      <c r="B195" t="s">
        <v>569</v>
      </c>
      <c r="C195" t="s">
        <v>285</v>
      </c>
      <c r="D195" t="s">
        <v>297</v>
      </c>
    </row>
    <row r="196" spans="2:4" x14ac:dyDescent="0.25">
      <c r="B196" t="s">
        <v>570</v>
      </c>
      <c r="C196" t="s">
        <v>285</v>
      </c>
      <c r="D196" t="s">
        <v>298</v>
      </c>
    </row>
    <row r="197" spans="2:4" x14ac:dyDescent="0.25">
      <c r="B197" t="s">
        <v>571</v>
      </c>
      <c r="C197" t="s">
        <v>285</v>
      </c>
      <c r="D197" t="s">
        <v>299</v>
      </c>
    </row>
    <row r="198" spans="2:4" x14ac:dyDescent="0.25">
      <c r="B198" t="s">
        <v>572</v>
      </c>
      <c r="C198" t="s">
        <v>285</v>
      </c>
      <c r="D198" t="s">
        <v>300</v>
      </c>
    </row>
    <row r="199" spans="2:4" x14ac:dyDescent="0.25">
      <c r="B199" t="s">
        <v>573</v>
      </c>
      <c r="C199" t="s">
        <v>285</v>
      </c>
      <c r="D199" t="s">
        <v>301</v>
      </c>
    </row>
    <row r="200" spans="2:4" x14ac:dyDescent="0.25">
      <c r="B200" t="s">
        <v>574</v>
      </c>
      <c r="C200" t="s">
        <v>285</v>
      </c>
      <c r="D200" t="s">
        <v>302</v>
      </c>
    </row>
    <row r="201" spans="2:4" x14ac:dyDescent="0.25">
      <c r="B201" t="s">
        <v>575</v>
      </c>
      <c r="C201" t="s">
        <v>285</v>
      </c>
      <c r="D201" t="s">
        <v>303</v>
      </c>
    </row>
    <row r="202" spans="2:4" x14ac:dyDescent="0.25">
      <c r="B202" t="s">
        <v>576</v>
      </c>
      <c r="C202" t="s">
        <v>285</v>
      </c>
      <c r="D202" t="s">
        <v>304</v>
      </c>
    </row>
    <row r="203" spans="2:4" x14ac:dyDescent="0.25">
      <c r="B203" t="s">
        <v>577</v>
      </c>
      <c r="C203" t="s">
        <v>285</v>
      </c>
      <c r="D203" t="s">
        <v>306</v>
      </c>
    </row>
    <row r="204" spans="2:4" x14ac:dyDescent="0.25">
      <c r="B204" t="s">
        <v>578</v>
      </c>
      <c r="C204" t="s">
        <v>285</v>
      </c>
      <c r="D204" t="s">
        <v>305</v>
      </c>
    </row>
    <row r="205" spans="2:4" x14ac:dyDescent="0.25">
      <c r="B205" t="s">
        <v>579</v>
      </c>
      <c r="C205" t="s">
        <v>285</v>
      </c>
      <c r="D205" t="s">
        <v>307</v>
      </c>
    </row>
    <row r="206" spans="2:4" x14ac:dyDescent="0.25">
      <c r="B206" t="s">
        <v>580</v>
      </c>
      <c r="C206" t="s">
        <v>285</v>
      </c>
      <c r="D206" t="s">
        <v>308</v>
      </c>
    </row>
    <row r="207" spans="2:4" x14ac:dyDescent="0.25">
      <c r="B207" t="s">
        <v>581</v>
      </c>
      <c r="C207" t="s">
        <v>285</v>
      </c>
      <c r="D207" t="s">
        <v>309</v>
      </c>
    </row>
    <row r="208" spans="2:4" x14ac:dyDescent="0.25">
      <c r="B208" t="s">
        <v>582</v>
      </c>
      <c r="C208" t="s">
        <v>285</v>
      </c>
      <c r="D208" t="s">
        <v>310</v>
      </c>
    </row>
    <row r="209" spans="2:4" x14ac:dyDescent="0.25">
      <c r="B209" t="s">
        <v>583</v>
      </c>
      <c r="C209" t="s">
        <v>285</v>
      </c>
      <c r="D209" t="s">
        <v>311</v>
      </c>
    </row>
    <row r="210" spans="2:4" x14ac:dyDescent="0.25">
      <c r="B210" t="s">
        <v>584</v>
      </c>
      <c r="C210" t="s">
        <v>285</v>
      </c>
      <c r="D210" t="s">
        <v>312</v>
      </c>
    </row>
    <row r="211" spans="2:4" x14ac:dyDescent="0.25">
      <c r="B211" t="s">
        <v>585</v>
      </c>
      <c r="C211" t="s">
        <v>285</v>
      </c>
      <c r="D211" t="s">
        <v>313</v>
      </c>
    </row>
    <row r="212" spans="2:4" x14ac:dyDescent="0.25">
      <c r="B212" t="s">
        <v>586</v>
      </c>
      <c r="C212" t="s">
        <v>285</v>
      </c>
      <c r="D212" t="s">
        <v>314</v>
      </c>
    </row>
    <row r="213" spans="2:4" x14ac:dyDescent="0.25">
      <c r="B213" t="s">
        <v>587</v>
      </c>
      <c r="C213" t="s">
        <v>285</v>
      </c>
      <c r="D213" t="s">
        <v>315</v>
      </c>
    </row>
    <row r="214" spans="2:4" x14ac:dyDescent="0.25">
      <c r="B214" t="s">
        <v>588</v>
      </c>
      <c r="C214" t="s">
        <v>285</v>
      </c>
      <c r="D214" t="s">
        <v>316</v>
      </c>
    </row>
    <row r="215" spans="2:4" x14ac:dyDescent="0.25">
      <c r="B215" t="s">
        <v>589</v>
      </c>
      <c r="C215" t="s">
        <v>285</v>
      </c>
      <c r="D215" t="s">
        <v>317</v>
      </c>
    </row>
    <row r="216" spans="2:4" x14ac:dyDescent="0.25">
      <c r="B216" t="s">
        <v>590</v>
      </c>
      <c r="C216" t="s">
        <v>285</v>
      </c>
      <c r="D216" t="s">
        <v>318</v>
      </c>
    </row>
    <row r="217" spans="2:4" x14ac:dyDescent="0.25">
      <c r="B217" t="s">
        <v>591</v>
      </c>
      <c r="C217" t="s">
        <v>285</v>
      </c>
      <c r="D217" t="s">
        <v>319</v>
      </c>
    </row>
    <row r="218" spans="2:4" x14ac:dyDescent="0.25">
      <c r="B218" t="s">
        <v>592</v>
      </c>
      <c r="C218" t="s">
        <v>285</v>
      </c>
      <c r="D218" t="s">
        <v>320</v>
      </c>
    </row>
    <row r="219" spans="2:4" x14ac:dyDescent="0.25">
      <c r="B219" t="s">
        <v>593</v>
      </c>
      <c r="C219" t="s">
        <v>285</v>
      </c>
      <c r="D219" t="s">
        <v>321</v>
      </c>
    </row>
    <row r="220" spans="2:4" x14ac:dyDescent="0.25">
      <c r="B220" t="s">
        <v>594</v>
      </c>
      <c r="C220" t="s">
        <v>326</v>
      </c>
      <c r="D220" s="7" t="s">
        <v>322</v>
      </c>
    </row>
    <row r="221" spans="2:4" x14ac:dyDescent="0.25">
      <c r="B221" t="s">
        <v>595</v>
      </c>
      <c r="C221" t="s">
        <v>326</v>
      </c>
      <c r="D221" s="7" t="s">
        <v>323</v>
      </c>
    </row>
    <row r="222" spans="2:4" x14ac:dyDescent="0.25">
      <c r="B222" t="s">
        <v>596</v>
      </c>
      <c r="C222" t="s">
        <v>326</v>
      </c>
      <c r="D222" s="7" t="s">
        <v>324</v>
      </c>
    </row>
    <row r="223" spans="2:4" x14ac:dyDescent="0.25">
      <c r="B223" t="s">
        <v>597</v>
      </c>
      <c r="C223" t="s">
        <v>326</v>
      </c>
      <c r="D223" s="7" t="s">
        <v>325</v>
      </c>
    </row>
    <row r="224" spans="2:4" x14ac:dyDescent="0.25">
      <c r="B224" t="s">
        <v>598</v>
      </c>
      <c r="C224" t="s">
        <v>326</v>
      </c>
      <c r="D224" t="s">
        <v>327</v>
      </c>
    </row>
    <row r="225" spans="2:4" x14ac:dyDescent="0.25">
      <c r="B225" t="s">
        <v>599</v>
      </c>
      <c r="C225" t="s">
        <v>326</v>
      </c>
      <c r="D225" t="s">
        <v>328</v>
      </c>
    </row>
    <row r="226" spans="2:4" x14ac:dyDescent="0.25">
      <c r="B226" t="s">
        <v>600</v>
      </c>
      <c r="C226" t="s">
        <v>326</v>
      </c>
      <c r="D226" t="s">
        <v>329</v>
      </c>
    </row>
    <row r="227" spans="2:4" x14ac:dyDescent="0.25">
      <c r="B227" t="s">
        <v>601</v>
      </c>
      <c r="C227" t="s">
        <v>326</v>
      </c>
      <c r="D227" t="s">
        <v>330</v>
      </c>
    </row>
    <row r="228" spans="2:4" x14ac:dyDescent="0.25">
      <c r="B228" t="s">
        <v>602</v>
      </c>
      <c r="C228" t="s">
        <v>326</v>
      </c>
      <c r="D228" t="s">
        <v>331</v>
      </c>
    </row>
    <row r="229" spans="2:4" x14ac:dyDescent="0.25">
      <c r="B229" t="s">
        <v>603</v>
      </c>
      <c r="C229" t="s">
        <v>326</v>
      </c>
      <c r="D229" t="s">
        <v>332</v>
      </c>
    </row>
    <row r="230" spans="2:4" x14ac:dyDescent="0.25">
      <c r="B230" t="s">
        <v>604</v>
      </c>
      <c r="C230" t="s">
        <v>326</v>
      </c>
      <c r="D230" t="s">
        <v>333</v>
      </c>
    </row>
    <row r="231" spans="2:4" x14ac:dyDescent="0.25">
      <c r="B231" t="s">
        <v>605</v>
      </c>
      <c r="C231" t="s">
        <v>326</v>
      </c>
      <c r="D231" t="s">
        <v>334</v>
      </c>
    </row>
    <row r="232" spans="2:4" x14ac:dyDescent="0.25">
      <c r="B232" t="s">
        <v>606</v>
      </c>
      <c r="C232" t="s">
        <v>326</v>
      </c>
      <c r="D232" t="s">
        <v>335</v>
      </c>
    </row>
    <row r="233" spans="2:4" x14ac:dyDescent="0.25">
      <c r="B233" t="s">
        <v>607</v>
      </c>
      <c r="C233" t="s">
        <v>326</v>
      </c>
      <c r="D233" t="s">
        <v>336</v>
      </c>
    </row>
    <row r="234" spans="2:4" x14ac:dyDescent="0.25">
      <c r="B234" t="s">
        <v>608</v>
      </c>
      <c r="C234" t="s">
        <v>326</v>
      </c>
      <c r="D234" t="s">
        <v>337</v>
      </c>
    </row>
    <row r="235" spans="2:4" x14ac:dyDescent="0.25">
      <c r="B235" t="s">
        <v>609</v>
      </c>
      <c r="C235" t="s">
        <v>326</v>
      </c>
      <c r="D235" t="s">
        <v>338</v>
      </c>
    </row>
    <row r="236" spans="2:4" x14ac:dyDescent="0.25">
      <c r="B236" t="s">
        <v>610</v>
      </c>
      <c r="C236" t="s">
        <v>326</v>
      </c>
      <c r="D236" t="s">
        <v>339</v>
      </c>
    </row>
    <row r="237" spans="2:4" x14ac:dyDescent="0.25">
      <c r="B237" t="s">
        <v>611</v>
      </c>
      <c r="C237" t="s">
        <v>326</v>
      </c>
      <c r="D237" t="s">
        <v>340</v>
      </c>
    </row>
    <row r="238" spans="2:4" x14ac:dyDescent="0.25">
      <c r="B238" t="s">
        <v>612</v>
      </c>
      <c r="C238" t="s">
        <v>326</v>
      </c>
      <c r="D238" t="s">
        <v>341</v>
      </c>
    </row>
    <row r="239" spans="2:4" x14ac:dyDescent="0.25">
      <c r="B239" t="s">
        <v>613</v>
      </c>
      <c r="C239" t="s">
        <v>326</v>
      </c>
      <c r="D239" t="s">
        <v>342</v>
      </c>
    </row>
    <row r="240" spans="2:4" x14ac:dyDescent="0.25">
      <c r="B240" t="s">
        <v>614</v>
      </c>
      <c r="C240" t="s">
        <v>326</v>
      </c>
      <c r="D240" t="s">
        <v>343</v>
      </c>
    </row>
    <row r="241" spans="2:4" x14ac:dyDescent="0.25">
      <c r="B241" t="s">
        <v>615</v>
      </c>
      <c r="C241" t="s">
        <v>326</v>
      </c>
      <c r="D241" t="s">
        <v>344</v>
      </c>
    </row>
    <row r="242" spans="2:4" x14ac:dyDescent="0.25">
      <c r="B242" t="s">
        <v>616</v>
      </c>
      <c r="C242" t="s">
        <v>326</v>
      </c>
      <c r="D242" t="s">
        <v>345</v>
      </c>
    </row>
    <row r="243" spans="2:4" x14ac:dyDescent="0.25">
      <c r="B243" t="s">
        <v>617</v>
      </c>
      <c r="C243" t="s">
        <v>326</v>
      </c>
      <c r="D243" t="s">
        <v>346</v>
      </c>
    </row>
    <row r="244" spans="2:4" x14ac:dyDescent="0.25">
      <c r="B244" t="s">
        <v>618</v>
      </c>
      <c r="C244" t="s">
        <v>326</v>
      </c>
      <c r="D244" t="s">
        <v>347</v>
      </c>
    </row>
    <row r="245" spans="2:4" x14ac:dyDescent="0.25">
      <c r="B245" t="s">
        <v>619</v>
      </c>
      <c r="C245" t="s">
        <v>326</v>
      </c>
      <c r="D245" s="7" t="s">
        <v>348</v>
      </c>
    </row>
    <row r="246" spans="2:4" x14ac:dyDescent="0.25">
      <c r="B246" t="s">
        <v>620</v>
      </c>
      <c r="C246" t="s">
        <v>326</v>
      </c>
      <c r="D246" s="7" t="s">
        <v>349</v>
      </c>
    </row>
    <row r="247" spans="2:4" x14ac:dyDescent="0.25">
      <c r="B247" t="s">
        <v>621</v>
      </c>
      <c r="C247" t="s">
        <v>326</v>
      </c>
      <c r="D247" s="7" t="s">
        <v>350</v>
      </c>
    </row>
    <row r="248" spans="2:4" x14ac:dyDescent="0.25">
      <c r="B248" t="s">
        <v>622</v>
      </c>
      <c r="C248" t="s">
        <v>326</v>
      </c>
      <c r="D248" s="7" t="s">
        <v>351</v>
      </c>
    </row>
    <row r="249" spans="2:4" x14ac:dyDescent="0.25">
      <c r="B249" t="s">
        <v>623</v>
      </c>
      <c r="C249" t="s">
        <v>326</v>
      </c>
      <c r="D249" t="s">
        <v>352</v>
      </c>
    </row>
    <row r="250" spans="2:4" x14ac:dyDescent="0.25">
      <c r="B250" t="s">
        <v>624</v>
      </c>
      <c r="C250" t="s">
        <v>326</v>
      </c>
      <c r="D250" t="s">
        <v>353</v>
      </c>
    </row>
    <row r="251" spans="2:4" x14ac:dyDescent="0.25">
      <c r="B251" t="s">
        <v>625</v>
      </c>
      <c r="C251" t="s">
        <v>326</v>
      </c>
      <c r="D251" t="s">
        <v>354</v>
      </c>
    </row>
    <row r="252" spans="2:4" x14ac:dyDescent="0.25">
      <c r="B252" t="s">
        <v>626</v>
      </c>
      <c r="C252" t="s">
        <v>326</v>
      </c>
      <c r="D252" t="s">
        <v>355</v>
      </c>
    </row>
    <row r="253" spans="2:4" x14ac:dyDescent="0.25">
      <c r="B253" t="s">
        <v>627</v>
      </c>
      <c r="C253" t="s">
        <v>326</v>
      </c>
      <c r="D253" t="s">
        <v>356</v>
      </c>
    </row>
    <row r="254" spans="2:4" x14ac:dyDescent="0.25">
      <c r="B254" t="s">
        <v>628</v>
      </c>
      <c r="C254" t="s">
        <v>326</v>
      </c>
      <c r="D254" t="s">
        <v>357</v>
      </c>
    </row>
    <row r="255" spans="2:4" x14ac:dyDescent="0.25">
      <c r="B255" t="s">
        <v>629</v>
      </c>
      <c r="C255" t="s">
        <v>44</v>
      </c>
      <c r="D255" s="7" t="s">
        <v>358</v>
      </c>
    </row>
    <row r="256" spans="2:4" x14ac:dyDescent="0.25">
      <c r="B256" t="s">
        <v>630</v>
      </c>
      <c r="C256" t="s">
        <v>44</v>
      </c>
      <c r="D256" s="7" t="s">
        <v>359</v>
      </c>
    </row>
    <row r="257" spans="2:4" x14ac:dyDescent="0.25">
      <c r="B257" t="s">
        <v>631</v>
      </c>
      <c r="C257" t="s">
        <v>44</v>
      </c>
      <c r="D257" t="s">
        <v>360</v>
      </c>
    </row>
    <row r="258" spans="2:4" x14ac:dyDescent="0.25">
      <c r="B258" t="s">
        <v>632</v>
      </c>
      <c r="C258" t="s">
        <v>44</v>
      </c>
      <c r="D258" t="s">
        <v>361</v>
      </c>
    </row>
    <row r="259" spans="2:4" x14ac:dyDescent="0.25">
      <c r="B259" t="s">
        <v>633</v>
      </c>
      <c r="C259" t="s">
        <v>44</v>
      </c>
      <c r="D259" t="s">
        <v>362</v>
      </c>
    </row>
    <row r="260" spans="2:4" x14ac:dyDescent="0.25">
      <c r="B260" t="s">
        <v>634</v>
      </c>
      <c r="C260" t="s">
        <v>44</v>
      </c>
      <c r="D260" t="s">
        <v>363</v>
      </c>
    </row>
    <row r="261" spans="2:4" x14ac:dyDescent="0.25">
      <c r="B261" t="s">
        <v>635</v>
      </c>
      <c r="C261" t="s">
        <v>44</v>
      </c>
      <c r="D261" t="s">
        <v>364</v>
      </c>
    </row>
    <row r="262" spans="2:4" x14ac:dyDescent="0.25">
      <c r="B262" t="s">
        <v>636</v>
      </c>
      <c r="C262" t="s">
        <v>44</v>
      </c>
      <c r="D262" t="s">
        <v>365</v>
      </c>
    </row>
    <row r="263" spans="2:4" x14ac:dyDescent="0.25">
      <c r="B263" t="s">
        <v>637</v>
      </c>
      <c r="C263" t="s">
        <v>44</v>
      </c>
      <c r="D263" t="s">
        <v>366</v>
      </c>
    </row>
    <row r="264" spans="2:4" x14ac:dyDescent="0.25">
      <c r="B264" t="s">
        <v>638</v>
      </c>
      <c r="C264" t="s">
        <v>44</v>
      </c>
      <c r="D264" t="s">
        <v>367</v>
      </c>
    </row>
    <row r="265" spans="2:4" x14ac:dyDescent="0.25">
      <c r="B265" t="s">
        <v>639</v>
      </c>
      <c r="C265" t="s">
        <v>44</v>
      </c>
      <c r="D265" t="s">
        <v>368</v>
      </c>
    </row>
    <row r="266" spans="2:4" x14ac:dyDescent="0.25">
      <c r="B266" t="s">
        <v>640</v>
      </c>
      <c r="C266" t="s">
        <v>44</v>
      </c>
      <c r="D266" t="s">
        <v>309</v>
      </c>
    </row>
    <row r="267" spans="2:4" x14ac:dyDescent="0.25">
      <c r="B267" t="s">
        <v>641</v>
      </c>
      <c r="C267" t="s">
        <v>44</v>
      </c>
      <c r="D267" t="s">
        <v>369</v>
      </c>
    </row>
    <row r="268" spans="2:4" x14ac:dyDescent="0.25">
      <c r="B268" t="s">
        <v>642</v>
      </c>
      <c r="C268" t="s">
        <v>44</v>
      </c>
      <c r="D268" t="s">
        <v>370</v>
      </c>
    </row>
    <row r="269" spans="2:4" x14ac:dyDescent="0.25">
      <c r="B269" t="s">
        <v>643</v>
      </c>
      <c r="C269" t="s">
        <v>44</v>
      </c>
      <c r="D269" t="s">
        <v>371</v>
      </c>
    </row>
    <row r="270" spans="2:4" x14ac:dyDescent="0.25">
      <c r="B270" t="s">
        <v>644</v>
      </c>
      <c r="C270" t="s">
        <v>44</v>
      </c>
      <c r="D270" t="s">
        <v>372</v>
      </c>
    </row>
    <row r="271" spans="2:4" x14ac:dyDescent="0.25">
      <c r="B271" t="s">
        <v>645</v>
      </c>
      <c r="C271" t="s">
        <v>44</v>
      </c>
      <c r="D271" t="s">
        <v>373</v>
      </c>
    </row>
    <row r="272" spans="2:4" x14ac:dyDescent="0.25">
      <c r="B272" t="s">
        <v>646</v>
      </c>
      <c r="C272" t="s">
        <v>44</v>
      </c>
      <c r="D272" t="s">
        <v>374</v>
      </c>
    </row>
    <row r="273" spans="2:4" x14ac:dyDescent="0.25">
      <c r="B273" t="s">
        <v>647</v>
      </c>
      <c r="C273" t="s">
        <v>44</v>
      </c>
      <c r="D273" t="s">
        <v>375</v>
      </c>
    </row>
    <row r="274" spans="2:4" x14ac:dyDescent="0.25">
      <c r="B274" t="s">
        <v>648</v>
      </c>
      <c r="C274" t="s">
        <v>44</v>
      </c>
      <c r="D274" t="s">
        <v>376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B1D6D-49C7-4D8C-926C-D6B9A7851DC9}">
  <dimension ref="B2:N16"/>
  <sheetViews>
    <sheetView zoomScale="55" zoomScaleNormal="55" workbookViewId="0">
      <selection activeCell="E9" sqref="E9"/>
    </sheetView>
  </sheetViews>
  <sheetFormatPr defaultColWidth="24.5703125" defaultRowHeight="15" x14ac:dyDescent="0.25"/>
  <sheetData>
    <row r="2" spans="2:14" ht="30" x14ac:dyDescent="0.25">
      <c r="B2" s="3" t="s">
        <v>47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55</v>
      </c>
      <c r="H2" s="3" t="s">
        <v>61</v>
      </c>
      <c r="I2" s="3" t="s">
        <v>62</v>
      </c>
      <c r="J2" s="3" t="s">
        <v>63</v>
      </c>
      <c r="K2" s="3" t="s">
        <v>56</v>
      </c>
      <c r="L2" s="3" t="s">
        <v>64</v>
      </c>
      <c r="M2" s="3" t="s">
        <v>65</v>
      </c>
      <c r="N2" s="3" t="s">
        <v>66</v>
      </c>
    </row>
    <row r="3" spans="2:14" ht="45" x14ac:dyDescent="0.25">
      <c r="B3" s="4" t="s">
        <v>67</v>
      </c>
      <c r="C3" s="4" t="s">
        <v>68</v>
      </c>
      <c r="D3" s="4" t="s">
        <v>52</v>
      </c>
      <c r="E3" s="4" t="s">
        <v>48</v>
      </c>
      <c r="F3" s="4" t="s">
        <v>48</v>
      </c>
      <c r="G3" s="4" t="s">
        <v>52</v>
      </c>
      <c r="H3" s="4" t="s">
        <v>69</v>
      </c>
      <c r="I3" s="5" t="s">
        <v>52</v>
      </c>
      <c r="J3" s="4" t="s">
        <v>49</v>
      </c>
      <c r="K3" s="4" t="s">
        <v>49</v>
      </c>
      <c r="L3" s="4" t="s">
        <v>70</v>
      </c>
      <c r="M3" s="4" t="s">
        <v>53</v>
      </c>
      <c r="N3" s="5" t="s">
        <v>49</v>
      </c>
    </row>
    <row r="4" spans="2:14" ht="30" x14ac:dyDescent="0.25">
      <c r="B4" s="4" t="s">
        <v>67</v>
      </c>
      <c r="C4" s="4" t="s">
        <v>71</v>
      </c>
      <c r="D4" s="4" t="s">
        <v>51</v>
      </c>
      <c r="E4" s="4" t="s">
        <v>50</v>
      </c>
      <c r="F4" s="4" t="s">
        <v>50</v>
      </c>
      <c r="G4" s="4" t="s">
        <v>51</v>
      </c>
      <c r="H4" s="4" t="s">
        <v>72</v>
      </c>
      <c r="I4" s="5" t="s">
        <v>51</v>
      </c>
      <c r="J4" s="4" t="s">
        <v>49</v>
      </c>
      <c r="K4" s="4" t="s">
        <v>49</v>
      </c>
      <c r="L4" s="4" t="s">
        <v>50</v>
      </c>
      <c r="M4" s="4" t="s">
        <v>53</v>
      </c>
      <c r="N4" s="5" t="s">
        <v>49</v>
      </c>
    </row>
    <row r="5" spans="2:14" ht="60" x14ac:dyDescent="0.25">
      <c r="B5" s="4" t="s">
        <v>67</v>
      </c>
      <c r="C5" s="4" t="s">
        <v>73</v>
      </c>
      <c r="D5" s="4" t="s">
        <v>51</v>
      </c>
      <c r="E5" s="4" t="s">
        <v>50</v>
      </c>
      <c r="F5" s="4" t="s">
        <v>50</v>
      </c>
      <c r="G5" s="4" t="s">
        <v>51</v>
      </c>
      <c r="H5" s="4" t="s">
        <v>72</v>
      </c>
      <c r="I5" s="5" t="s">
        <v>51</v>
      </c>
      <c r="J5" s="4" t="s">
        <v>49</v>
      </c>
      <c r="K5" s="4" t="s">
        <v>49</v>
      </c>
      <c r="L5" s="4" t="s">
        <v>50</v>
      </c>
      <c r="M5" s="4" t="s">
        <v>53</v>
      </c>
      <c r="N5" s="5" t="s">
        <v>49</v>
      </c>
    </row>
    <row r="6" spans="2:14" ht="45" x14ac:dyDescent="0.25">
      <c r="B6" s="4" t="s">
        <v>74</v>
      </c>
      <c r="C6" s="4" t="s">
        <v>75</v>
      </c>
      <c r="D6" s="4" t="s">
        <v>49</v>
      </c>
      <c r="E6" s="4" t="s">
        <v>53</v>
      </c>
      <c r="F6" s="4" t="s">
        <v>50</v>
      </c>
      <c r="G6" s="4" t="s">
        <v>49</v>
      </c>
      <c r="H6" s="4" t="s">
        <v>76</v>
      </c>
      <c r="I6" s="5" t="s">
        <v>49</v>
      </c>
      <c r="J6" s="4" t="s">
        <v>51</v>
      </c>
      <c r="K6" s="4" t="s">
        <v>49</v>
      </c>
      <c r="L6" s="4" t="s">
        <v>77</v>
      </c>
      <c r="M6" s="4" t="s">
        <v>50</v>
      </c>
      <c r="N6" s="5" t="s">
        <v>51</v>
      </c>
    </row>
    <row r="7" spans="2:14" ht="45" x14ac:dyDescent="0.25">
      <c r="B7" s="4" t="s">
        <v>74</v>
      </c>
      <c r="C7" s="4" t="s">
        <v>78</v>
      </c>
      <c r="D7" s="4" t="s">
        <v>49</v>
      </c>
      <c r="E7" s="4" t="s">
        <v>53</v>
      </c>
      <c r="F7" s="4" t="s">
        <v>53</v>
      </c>
      <c r="G7" s="4" t="s">
        <v>49</v>
      </c>
      <c r="H7" s="4" t="s">
        <v>76</v>
      </c>
      <c r="I7" s="5" t="s">
        <v>49</v>
      </c>
      <c r="J7" s="4" t="s">
        <v>52</v>
      </c>
      <c r="K7" s="4" t="s">
        <v>51</v>
      </c>
      <c r="L7" s="4" t="s">
        <v>77</v>
      </c>
      <c r="M7" s="4" t="s">
        <v>48</v>
      </c>
      <c r="N7" s="5" t="s">
        <v>52</v>
      </c>
    </row>
    <row r="8" spans="2:14" ht="45" x14ac:dyDescent="0.25">
      <c r="B8" s="4" t="s">
        <v>79</v>
      </c>
      <c r="C8" s="4" t="s">
        <v>80</v>
      </c>
      <c r="D8" s="4" t="s">
        <v>49</v>
      </c>
      <c r="E8" s="4" t="s">
        <v>53</v>
      </c>
      <c r="F8" s="4" t="s">
        <v>53</v>
      </c>
      <c r="G8" s="4" t="s">
        <v>49</v>
      </c>
      <c r="H8" s="4" t="s">
        <v>76</v>
      </c>
      <c r="I8" s="5" t="s">
        <v>81</v>
      </c>
      <c r="J8" s="4" t="s">
        <v>52</v>
      </c>
      <c r="K8" s="4" t="s">
        <v>51</v>
      </c>
      <c r="L8" s="4" t="s">
        <v>77</v>
      </c>
      <c r="M8" s="4" t="s">
        <v>48</v>
      </c>
      <c r="N8" s="5" t="s">
        <v>52</v>
      </c>
    </row>
    <row r="9" spans="2:14" ht="45" x14ac:dyDescent="0.25">
      <c r="B9" s="4" t="s">
        <v>82</v>
      </c>
      <c r="C9" s="4" t="s">
        <v>83</v>
      </c>
      <c r="D9" s="4" t="s">
        <v>51</v>
      </c>
      <c r="E9" s="4" t="s">
        <v>50</v>
      </c>
      <c r="F9" s="4" t="s">
        <v>50</v>
      </c>
      <c r="G9" s="4" t="s">
        <v>51</v>
      </c>
      <c r="H9" s="4" t="s">
        <v>72</v>
      </c>
      <c r="I9" s="5" t="s">
        <v>51</v>
      </c>
      <c r="J9" s="4" t="s">
        <v>49</v>
      </c>
      <c r="K9" s="4" t="s">
        <v>49</v>
      </c>
      <c r="L9" s="4" t="s">
        <v>77</v>
      </c>
      <c r="M9" s="4" t="s">
        <v>50</v>
      </c>
      <c r="N9" s="5" t="s">
        <v>49</v>
      </c>
    </row>
    <row r="10" spans="2:14" ht="45" x14ac:dyDescent="0.25">
      <c r="B10" s="4" t="s">
        <v>82</v>
      </c>
      <c r="C10" s="4" t="s">
        <v>84</v>
      </c>
      <c r="D10" s="4" t="s">
        <v>49</v>
      </c>
      <c r="E10" s="4" t="s">
        <v>53</v>
      </c>
      <c r="F10" s="4" t="s">
        <v>53</v>
      </c>
      <c r="G10" s="4" t="s">
        <v>49</v>
      </c>
      <c r="H10" s="4" t="s">
        <v>76</v>
      </c>
      <c r="I10" s="5" t="s">
        <v>49</v>
      </c>
      <c r="J10" s="4" t="s">
        <v>52</v>
      </c>
      <c r="K10" s="4" t="s">
        <v>51</v>
      </c>
      <c r="L10" s="4" t="s">
        <v>77</v>
      </c>
      <c r="M10" s="4" t="s">
        <v>48</v>
      </c>
      <c r="N10" s="5" t="s">
        <v>52</v>
      </c>
    </row>
    <row r="11" spans="2:14" ht="45" x14ac:dyDescent="0.25">
      <c r="B11" s="4" t="s">
        <v>85</v>
      </c>
      <c r="C11" s="4" t="s">
        <v>86</v>
      </c>
      <c r="D11" s="4" t="s">
        <v>51</v>
      </c>
      <c r="E11" s="4" t="s">
        <v>50</v>
      </c>
      <c r="F11" s="4" t="s">
        <v>50</v>
      </c>
      <c r="G11" s="4" t="s">
        <v>49</v>
      </c>
      <c r="H11" s="4" t="s">
        <v>72</v>
      </c>
      <c r="I11" s="5" t="s">
        <v>51</v>
      </c>
      <c r="J11" s="4" t="s">
        <v>49</v>
      </c>
      <c r="K11" s="4" t="s">
        <v>49</v>
      </c>
      <c r="L11" s="4" t="s">
        <v>50</v>
      </c>
      <c r="M11" s="4" t="s">
        <v>53</v>
      </c>
      <c r="N11" s="5" t="s">
        <v>49</v>
      </c>
    </row>
    <row r="12" spans="2:14" ht="45" x14ac:dyDescent="0.25">
      <c r="B12" s="4" t="s">
        <v>85</v>
      </c>
      <c r="C12" s="4" t="s">
        <v>87</v>
      </c>
      <c r="D12" s="4" t="s">
        <v>49</v>
      </c>
      <c r="E12" s="4" t="s">
        <v>53</v>
      </c>
      <c r="F12" s="4" t="s">
        <v>53</v>
      </c>
      <c r="G12" s="4" t="s">
        <v>49</v>
      </c>
      <c r="H12" s="4" t="s">
        <v>76</v>
      </c>
      <c r="I12" s="5" t="s">
        <v>49</v>
      </c>
      <c r="J12" s="4" t="s">
        <v>51</v>
      </c>
      <c r="K12" s="4" t="s">
        <v>51</v>
      </c>
      <c r="L12" s="4" t="s">
        <v>77</v>
      </c>
      <c r="M12" s="4" t="s">
        <v>50</v>
      </c>
      <c r="N12" s="5" t="s">
        <v>51</v>
      </c>
    </row>
    <row r="13" spans="2:14" ht="60" x14ac:dyDescent="0.25">
      <c r="B13" s="4" t="s">
        <v>88</v>
      </c>
      <c r="C13" s="4" t="s">
        <v>89</v>
      </c>
      <c r="D13" s="4" t="s">
        <v>49</v>
      </c>
      <c r="E13" s="4" t="s">
        <v>53</v>
      </c>
      <c r="F13" s="4" t="s">
        <v>50</v>
      </c>
      <c r="G13" s="4" t="s">
        <v>51</v>
      </c>
      <c r="H13" s="4" t="s">
        <v>72</v>
      </c>
      <c r="I13" s="5" t="s">
        <v>49</v>
      </c>
      <c r="J13" s="4" t="s">
        <v>49</v>
      </c>
      <c r="K13" s="4" t="s">
        <v>49</v>
      </c>
      <c r="L13" s="4" t="s">
        <v>50</v>
      </c>
      <c r="M13" s="4" t="s">
        <v>53</v>
      </c>
      <c r="N13" s="5" t="s">
        <v>49</v>
      </c>
    </row>
    <row r="14" spans="2:14" ht="45" x14ac:dyDescent="0.25">
      <c r="B14" s="4" t="s">
        <v>88</v>
      </c>
      <c r="C14" s="4" t="s">
        <v>90</v>
      </c>
      <c r="D14" s="4" t="s">
        <v>81</v>
      </c>
      <c r="E14" s="4" t="s">
        <v>91</v>
      </c>
      <c r="F14" s="4" t="s">
        <v>53</v>
      </c>
      <c r="G14" s="4" t="s">
        <v>49</v>
      </c>
      <c r="H14" s="4" t="s">
        <v>76</v>
      </c>
      <c r="I14" s="5" t="s">
        <v>81</v>
      </c>
      <c r="J14" s="4" t="s">
        <v>52</v>
      </c>
      <c r="K14" s="4" t="s">
        <v>51</v>
      </c>
      <c r="L14" s="4" t="s">
        <v>77</v>
      </c>
      <c r="M14" s="4" t="s">
        <v>48</v>
      </c>
      <c r="N14" s="5" t="s">
        <v>52</v>
      </c>
    </row>
    <row r="15" spans="2:14" ht="30" x14ac:dyDescent="0.25">
      <c r="B15" s="4" t="s">
        <v>92</v>
      </c>
      <c r="C15" s="4" t="s">
        <v>54</v>
      </c>
      <c r="D15" s="4" t="s">
        <v>81</v>
      </c>
      <c r="E15" s="4" t="s">
        <v>53</v>
      </c>
      <c r="F15" s="4" t="s">
        <v>50</v>
      </c>
      <c r="G15" s="4" t="s">
        <v>49</v>
      </c>
      <c r="H15" s="4" t="s">
        <v>76</v>
      </c>
      <c r="I15" s="5" t="s">
        <v>81</v>
      </c>
      <c r="J15" s="4" t="s">
        <v>52</v>
      </c>
      <c r="K15" s="4" t="s">
        <v>51</v>
      </c>
      <c r="L15" s="4" t="s">
        <v>77</v>
      </c>
      <c r="M15" s="4" t="s">
        <v>48</v>
      </c>
      <c r="N15" s="5" t="s">
        <v>52</v>
      </c>
    </row>
    <row r="16" spans="2:14" ht="45" x14ac:dyDescent="0.25">
      <c r="B16" s="4" t="s">
        <v>93</v>
      </c>
      <c r="C16" s="4" t="s">
        <v>94</v>
      </c>
      <c r="D16" s="4" t="s">
        <v>49</v>
      </c>
      <c r="E16" s="4" t="s">
        <v>53</v>
      </c>
      <c r="F16" s="4" t="s">
        <v>53</v>
      </c>
      <c r="G16" s="4" t="s">
        <v>81</v>
      </c>
      <c r="H16" s="4" t="s">
        <v>76</v>
      </c>
      <c r="I16" s="5" t="s">
        <v>81</v>
      </c>
      <c r="J16" s="4" t="s">
        <v>52</v>
      </c>
      <c r="K16" s="4" t="s">
        <v>52</v>
      </c>
      <c r="L16" s="4" t="s">
        <v>70</v>
      </c>
      <c r="M16" s="4" t="s">
        <v>48</v>
      </c>
      <c r="N16" s="5" t="s">
        <v>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DFBB-2067-41FA-BA71-255CA6758C94}">
  <dimension ref="B3:N17"/>
  <sheetViews>
    <sheetView tabSelected="1" topLeftCell="A2" zoomScale="70" zoomScaleNormal="70" workbookViewId="0">
      <selection activeCell="C4" sqref="C4:C17"/>
    </sheetView>
  </sheetViews>
  <sheetFormatPr defaultColWidth="14.7109375" defaultRowHeight="15" x14ac:dyDescent="0.25"/>
  <cols>
    <col min="3" max="3" width="32.85546875" customWidth="1"/>
  </cols>
  <sheetData>
    <row r="3" spans="2:14" ht="30" x14ac:dyDescent="0.25">
      <c r="B3" s="3" t="s">
        <v>95</v>
      </c>
      <c r="C3" s="3" t="s">
        <v>96</v>
      </c>
      <c r="D3" s="3" t="s">
        <v>58</v>
      </c>
      <c r="E3" s="3" t="s">
        <v>97</v>
      </c>
      <c r="F3" s="3" t="s">
        <v>60</v>
      </c>
      <c r="G3" s="3" t="s">
        <v>55</v>
      </c>
      <c r="H3" s="3" t="s">
        <v>61</v>
      </c>
      <c r="I3" s="3" t="s">
        <v>62</v>
      </c>
      <c r="J3" s="3" t="s">
        <v>63</v>
      </c>
      <c r="K3" s="3" t="s">
        <v>56</v>
      </c>
      <c r="L3" s="3" t="s">
        <v>64</v>
      </c>
      <c r="M3" s="3" t="s">
        <v>65</v>
      </c>
      <c r="N3" s="3" t="s">
        <v>66</v>
      </c>
    </row>
    <row r="4" spans="2:14" ht="30" x14ac:dyDescent="0.25">
      <c r="B4" s="4" t="s">
        <v>98</v>
      </c>
      <c r="C4" s="4" t="s">
        <v>99</v>
      </c>
      <c r="D4" s="4" t="s">
        <v>52</v>
      </c>
      <c r="E4" s="4" t="s">
        <v>48</v>
      </c>
      <c r="F4" s="4" t="s">
        <v>48</v>
      </c>
      <c r="G4" s="4" t="s">
        <v>52</v>
      </c>
      <c r="H4" s="4" t="s">
        <v>69</v>
      </c>
      <c r="I4" s="4" t="s">
        <v>52</v>
      </c>
      <c r="J4" s="4" t="s">
        <v>49</v>
      </c>
      <c r="K4" s="4" t="s">
        <v>49</v>
      </c>
      <c r="L4" s="4" t="s">
        <v>70</v>
      </c>
      <c r="M4" s="4" t="s">
        <v>53</v>
      </c>
      <c r="N4" s="4" t="s">
        <v>49</v>
      </c>
    </row>
    <row r="5" spans="2:14" ht="30" x14ac:dyDescent="0.25">
      <c r="B5" s="4" t="s">
        <v>98</v>
      </c>
      <c r="C5" s="4" t="s">
        <v>100</v>
      </c>
      <c r="D5" s="4" t="s">
        <v>51</v>
      </c>
      <c r="E5" s="4" t="s">
        <v>50</v>
      </c>
      <c r="F5" s="4" t="s">
        <v>50</v>
      </c>
      <c r="G5" s="4" t="s">
        <v>51</v>
      </c>
      <c r="H5" s="4" t="s">
        <v>72</v>
      </c>
      <c r="I5" s="4" t="s">
        <v>51</v>
      </c>
      <c r="J5" s="4" t="s">
        <v>49</v>
      </c>
      <c r="K5" s="4" t="s">
        <v>49</v>
      </c>
      <c r="L5" s="4" t="s">
        <v>50</v>
      </c>
      <c r="M5" s="4" t="s">
        <v>53</v>
      </c>
      <c r="N5" s="4" t="s">
        <v>49</v>
      </c>
    </row>
    <row r="6" spans="2:14" ht="30" x14ac:dyDescent="0.25">
      <c r="B6" s="4" t="s">
        <v>98</v>
      </c>
      <c r="C6" s="4" t="s">
        <v>101</v>
      </c>
      <c r="D6" s="4" t="s">
        <v>52</v>
      </c>
      <c r="E6" s="4" t="s">
        <v>48</v>
      </c>
      <c r="F6" s="4" t="s">
        <v>48</v>
      </c>
      <c r="G6" s="4" t="s">
        <v>52</v>
      </c>
      <c r="H6" s="4" t="s">
        <v>69</v>
      </c>
      <c r="I6" s="4" t="s">
        <v>52</v>
      </c>
      <c r="J6" s="4" t="s">
        <v>49</v>
      </c>
      <c r="K6" s="4" t="s">
        <v>49</v>
      </c>
      <c r="L6" s="4" t="s">
        <v>77</v>
      </c>
      <c r="M6" s="4" t="s">
        <v>53</v>
      </c>
      <c r="N6" s="4" t="s">
        <v>49</v>
      </c>
    </row>
    <row r="7" spans="2:14" ht="30" x14ac:dyDescent="0.25">
      <c r="B7" s="4" t="s">
        <v>98</v>
      </c>
      <c r="C7" s="4" t="s">
        <v>102</v>
      </c>
      <c r="D7" s="4" t="s">
        <v>49</v>
      </c>
      <c r="E7" s="4" t="s">
        <v>53</v>
      </c>
      <c r="F7" s="4" t="s">
        <v>53</v>
      </c>
      <c r="G7" s="4" t="s">
        <v>49</v>
      </c>
      <c r="H7" s="4" t="s">
        <v>76</v>
      </c>
      <c r="I7" s="4" t="s">
        <v>49</v>
      </c>
      <c r="J7" s="4" t="s">
        <v>51</v>
      </c>
      <c r="K7" s="4" t="s">
        <v>51</v>
      </c>
      <c r="L7" s="4" t="s">
        <v>77</v>
      </c>
      <c r="M7" s="4" t="s">
        <v>50</v>
      </c>
      <c r="N7" s="4" t="s">
        <v>51</v>
      </c>
    </row>
    <row r="8" spans="2:14" ht="30" x14ac:dyDescent="0.25">
      <c r="B8" s="4" t="s">
        <v>103</v>
      </c>
      <c r="C8" s="4" t="s">
        <v>104</v>
      </c>
      <c r="D8" s="4" t="s">
        <v>49</v>
      </c>
      <c r="E8" s="4" t="s">
        <v>53</v>
      </c>
      <c r="F8" s="4" t="s">
        <v>53</v>
      </c>
      <c r="G8" s="4" t="s">
        <v>49</v>
      </c>
      <c r="H8" s="4" t="s">
        <v>76</v>
      </c>
      <c r="I8" s="4" t="s">
        <v>49</v>
      </c>
      <c r="J8" s="4" t="s">
        <v>51</v>
      </c>
      <c r="K8" s="4" t="s">
        <v>51</v>
      </c>
      <c r="L8" s="4" t="s">
        <v>77</v>
      </c>
      <c r="M8" s="4" t="s">
        <v>48</v>
      </c>
      <c r="N8" s="4" t="s">
        <v>51</v>
      </c>
    </row>
    <row r="9" spans="2:14" ht="30" x14ac:dyDescent="0.25">
      <c r="B9" s="4" t="s">
        <v>103</v>
      </c>
      <c r="C9" s="4" t="s">
        <v>105</v>
      </c>
      <c r="D9" s="4" t="s">
        <v>49</v>
      </c>
      <c r="E9" s="4" t="s">
        <v>91</v>
      </c>
      <c r="F9" s="4" t="s">
        <v>53</v>
      </c>
      <c r="G9" s="4" t="s">
        <v>49</v>
      </c>
      <c r="H9" s="4" t="s">
        <v>76</v>
      </c>
      <c r="I9" s="4" t="s">
        <v>81</v>
      </c>
      <c r="J9" s="4" t="s">
        <v>52</v>
      </c>
      <c r="K9" s="4" t="s">
        <v>51</v>
      </c>
      <c r="L9" s="4" t="s">
        <v>70</v>
      </c>
      <c r="M9" s="4" t="s">
        <v>48</v>
      </c>
      <c r="N9" s="4" t="s">
        <v>52</v>
      </c>
    </row>
    <row r="10" spans="2:14" ht="30" x14ac:dyDescent="0.25">
      <c r="B10" s="4" t="s">
        <v>106</v>
      </c>
      <c r="C10" s="4" t="s">
        <v>107</v>
      </c>
      <c r="D10" s="4" t="s">
        <v>49</v>
      </c>
      <c r="E10" s="4" t="s">
        <v>53</v>
      </c>
      <c r="F10" s="4" t="s">
        <v>50</v>
      </c>
      <c r="G10" s="4" t="s">
        <v>49</v>
      </c>
      <c r="H10" s="4" t="s">
        <v>76</v>
      </c>
      <c r="I10" s="4" t="s">
        <v>49</v>
      </c>
      <c r="J10" s="4" t="s">
        <v>51</v>
      </c>
      <c r="K10" s="4" t="s">
        <v>49</v>
      </c>
      <c r="L10" s="4" t="s">
        <v>50</v>
      </c>
      <c r="M10" s="4" t="s">
        <v>50</v>
      </c>
      <c r="N10" s="4" t="s">
        <v>51</v>
      </c>
    </row>
    <row r="11" spans="2:14" ht="30" x14ac:dyDescent="0.25">
      <c r="B11" s="4" t="s">
        <v>106</v>
      </c>
      <c r="C11" s="4" t="s">
        <v>108</v>
      </c>
      <c r="D11" s="4" t="s">
        <v>49</v>
      </c>
      <c r="E11" s="4" t="s">
        <v>53</v>
      </c>
      <c r="F11" s="4" t="s">
        <v>53</v>
      </c>
      <c r="G11" s="4" t="s">
        <v>49</v>
      </c>
      <c r="H11" s="4" t="s">
        <v>76</v>
      </c>
      <c r="I11" s="4" t="s">
        <v>81</v>
      </c>
      <c r="J11" s="4" t="s">
        <v>52</v>
      </c>
      <c r="K11" s="4" t="s">
        <v>51</v>
      </c>
      <c r="L11" s="4" t="s">
        <v>77</v>
      </c>
      <c r="M11" s="4" t="s">
        <v>48</v>
      </c>
      <c r="N11" s="4" t="s">
        <v>52</v>
      </c>
    </row>
    <row r="12" spans="2:14" ht="30" x14ac:dyDescent="0.25">
      <c r="B12" s="4" t="s">
        <v>109</v>
      </c>
      <c r="C12" s="4" t="s">
        <v>110</v>
      </c>
      <c r="D12" s="4" t="s">
        <v>51</v>
      </c>
      <c r="E12" s="4" t="s">
        <v>50</v>
      </c>
      <c r="F12" s="4" t="s">
        <v>48</v>
      </c>
      <c r="G12" s="4" t="s">
        <v>52</v>
      </c>
      <c r="H12" s="4" t="s">
        <v>69</v>
      </c>
      <c r="I12" s="4" t="s">
        <v>51</v>
      </c>
      <c r="J12" s="4" t="s">
        <v>49</v>
      </c>
      <c r="K12" s="4" t="s">
        <v>49</v>
      </c>
      <c r="L12" s="4" t="s">
        <v>70</v>
      </c>
      <c r="M12" s="4" t="s">
        <v>53</v>
      </c>
      <c r="N12" s="4" t="s">
        <v>49</v>
      </c>
    </row>
    <row r="13" spans="2:14" ht="30" x14ac:dyDescent="0.25">
      <c r="B13" s="4" t="s">
        <v>109</v>
      </c>
      <c r="C13" s="4" t="s">
        <v>111</v>
      </c>
      <c r="D13" s="4" t="s">
        <v>51</v>
      </c>
      <c r="E13" s="4" t="s">
        <v>50</v>
      </c>
      <c r="F13" s="4" t="s">
        <v>50</v>
      </c>
      <c r="G13" s="4" t="s">
        <v>51</v>
      </c>
      <c r="H13" s="4" t="s">
        <v>72</v>
      </c>
      <c r="I13" s="4" t="s">
        <v>51</v>
      </c>
      <c r="J13" s="4" t="s">
        <v>51</v>
      </c>
      <c r="K13" s="4" t="s">
        <v>51</v>
      </c>
      <c r="L13" s="4" t="s">
        <v>50</v>
      </c>
      <c r="M13" s="4" t="s">
        <v>50</v>
      </c>
      <c r="N13" s="4" t="s">
        <v>51</v>
      </c>
    </row>
    <row r="14" spans="2:14" x14ac:dyDescent="0.25">
      <c r="B14" s="4" t="s">
        <v>0</v>
      </c>
      <c r="C14" s="4" t="s">
        <v>112</v>
      </c>
      <c r="D14" s="4" t="s">
        <v>49</v>
      </c>
      <c r="E14" s="4" t="s">
        <v>53</v>
      </c>
      <c r="F14" s="4" t="s">
        <v>50</v>
      </c>
      <c r="G14" s="4" t="s">
        <v>49</v>
      </c>
      <c r="H14" s="4" t="s">
        <v>76</v>
      </c>
      <c r="I14" s="4" t="s">
        <v>49</v>
      </c>
      <c r="J14" s="4" t="s">
        <v>51</v>
      </c>
      <c r="K14" s="4" t="s">
        <v>51</v>
      </c>
      <c r="L14" s="4" t="s">
        <v>70</v>
      </c>
      <c r="M14" s="4" t="s">
        <v>50</v>
      </c>
      <c r="N14" s="4" t="s">
        <v>51</v>
      </c>
    </row>
    <row r="15" spans="2:14" x14ac:dyDescent="0.25">
      <c r="B15" s="4" t="s">
        <v>0</v>
      </c>
      <c r="C15" s="4" t="s">
        <v>113</v>
      </c>
      <c r="D15" s="4" t="s">
        <v>81</v>
      </c>
      <c r="E15" s="4" t="s">
        <v>91</v>
      </c>
      <c r="F15" s="4" t="s">
        <v>53</v>
      </c>
      <c r="G15" s="4" t="s">
        <v>49</v>
      </c>
      <c r="H15" s="4" t="s">
        <v>76</v>
      </c>
      <c r="I15" s="4" t="s">
        <v>81</v>
      </c>
      <c r="J15" s="4" t="s">
        <v>52</v>
      </c>
      <c r="K15" s="4" t="s">
        <v>51</v>
      </c>
      <c r="L15" s="4" t="s">
        <v>77</v>
      </c>
      <c r="M15" s="4" t="s">
        <v>48</v>
      </c>
      <c r="N15" s="4" t="s">
        <v>52</v>
      </c>
    </row>
    <row r="16" spans="2:14" ht="30" x14ac:dyDescent="0.25">
      <c r="B16" s="4" t="s">
        <v>114</v>
      </c>
      <c r="C16" s="4" t="s">
        <v>115</v>
      </c>
      <c r="D16" s="4" t="s">
        <v>49</v>
      </c>
      <c r="E16" s="4" t="s">
        <v>53</v>
      </c>
      <c r="F16" s="4" t="s">
        <v>53</v>
      </c>
      <c r="G16" s="4" t="s">
        <v>49</v>
      </c>
      <c r="H16" s="4" t="s">
        <v>76</v>
      </c>
      <c r="I16" s="4" t="s">
        <v>49</v>
      </c>
      <c r="J16" s="4" t="s">
        <v>51</v>
      </c>
      <c r="K16" s="4" t="s">
        <v>51</v>
      </c>
      <c r="L16" s="4" t="s">
        <v>77</v>
      </c>
      <c r="M16" s="4" t="s">
        <v>48</v>
      </c>
      <c r="N16" s="4" t="s">
        <v>51</v>
      </c>
    </row>
    <row r="17" spans="2:14" ht="30" x14ac:dyDescent="0.25">
      <c r="B17" s="4" t="s">
        <v>116</v>
      </c>
      <c r="C17" s="4" t="s">
        <v>117</v>
      </c>
      <c r="D17" s="4" t="s">
        <v>81</v>
      </c>
      <c r="E17" s="4" t="s">
        <v>91</v>
      </c>
      <c r="F17" s="4" t="s">
        <v>53</v>
      </c>
      <c r="G17" s="4" t="s">
        <v>81</v>
      </c>
      <c r="H17" s="4" t="s">
        <v>76</v>
      </c>
      <c r="I17" s="4" t="s">
        <v>81</v>
      </c>
      <c r="J17" s="4" t="s">
        <v>52</v>
      </c>
      <c r="K17" s="4" t="s">
        <v>52</v>
      </c>
      <c r="L17" s="4" t="s">
        <v>77</v>
      </c>
      <c r="M17" s="4" t="s">
        <v>48</v>
      </c>
      <c r="N17" s="4" t="s">
        <v>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Áreas</vt:lpstr>
      <vt:lpstr>DB_AT</vt:lpstr>
      <vt:lpstr>Contratos (2)</vt:lpstr>
      <vt:lpstr>Societário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Belintane</dc:creator>
  <cp:lastModifiedBy>Julio Belintane</cp:lastModifiedBy>
  <dcterms:created xsi:type="dcterms:W3CDTF">2026-01-06T09:47:44Z</dcterms:created>
  <dcterms:modified xsi:type="dcterms:W3CDTF">2026-02-28T13:38:32Z</dcterms:modified>
</cp:coreProperties>
</file>